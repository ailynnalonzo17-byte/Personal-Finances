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ccounts &amp; Balances" sheetId="2" state="visible" r:id="rId2"/>
    <sheet name="Categories" sheetId="3" state="visible" r:id="rId3"/>
    <sheet name="Checking" sheetId="4" state="visible" r:id="rId4"/>
    <sheet name="Savings" sheetId="5" state="visible" r:id="rId5"/>
    <sheet name="PayPal" sheetId="6" state="visible" r:id="rId6"/>
    <sheet name="Open Questions" sheetId="7" state="visible" r:id="rId7"/>
  </sheets>
  <definedNames>
    <definedName name="_xlnm._FilterDatabase" localSheetId="3" hidden="1">'Checking'!$A$4:$J$991</definedName>
    <definedName name="_xlnm._FilterDatabase" localSheetId="4" hidden="1">'Savings'!$A$4:$J$5</definedName>
    <definedName name="_xlnm._FilterDatabase" localSheetId="5" hidden="1">'PayPal'!$A$4:$J$5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;[RED]($#,##0.00)"/>
    <numFmt numFmtId="165" formatCode="mm/dd/yyyy"/>
    <numFmt numFmtId="166" formatCode="yyyy-mm-dd h:mm:ss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DEDED"/>
      </patternFill>
    </fill>
    <fill>
      <patternFill patternType="solid">
        <fgColor rgb="00FFFF00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164" fontId="3" fillId="0" borderId="0" pivotButton="0" quotePrefix="0" xfId="0"/>
    <xf numFmtId="0" fontId="5" fillId="0" borderId="0" pivotButton="0" quotePrefix="0" xfId="0"/>
    <xf numFmtId="164" fontId="0" fillId="0" borderId="0" pivotButton="0" quotePrefix="0" xfId="0"/>
    <xf numFmtId="0" fontId="3" fillId="3" borderId="0" pivotButton="0" quotePrefix="0" xfId="0"/>
    <xf numFmtId="164" fontId="6" fillId="4" borderId="0" pivotButton="0" quotePrefix="0" xfId="0"/>
    <xf numFmtId="165" fontId="6" fillId="4" borderId="0" pivotButton="0" quotePrefix="0" xfId="0"/>
    <xf numFmtId="0" fontId="5" fillId="5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5" fillId="6" borderId="1" pivotButton="0" quotePrefix="0" xfId="0"/>
    <xf numFmtId="164" fontId="0" fillId="6" borderId="1" pivotButton="0" quotePrefix="0" xfId="0"/>
    <xf numFmtId="0" fontId="0" fillId="6" borderId="1" pivotButton="0" quotePrefix="0" xfId="0"/>
    <xf numFmtId="0" fontId="5" fillId="7" borderId="1" pivotButton="0" quotePrefix="0" xfId="0"/>
    <xf numFmtId="164" fontId="0" fillId="7" borderId="1" pivotButton="0" quotePrefix="0" xfId="0"/>
    <xf numFmtId="0" fontId="0" fillId="7" borderId="1" pivotButton="0" quotePrefix="0" xfId="0"/>
    <xf numFmtId="0" fontId="5" fillId="8" borderId="1" pivotButton="0" quotePrefix="0" xfId="0"/>
    <xf numFmtId="164" fontId="0" fillId="8" borderId="1" pivotButton="0" quotePrefix="0" xfId="0"/>
    <xf numFmtId="0" fontId="0" fillId="8" borderId="1" pivotButton="0" quotePrefix="0" xfId="0"/>
    <xf numFmtId="0" fontId="5" fillId="3" borderId="1" pivotButton="0" quotePrefix="0" xfId="0"/>
    <xf numFmtId="164" fontId="0" fillId="3" borderId="1" pivotButton="0" quotePrefix="0" xfId="0"/>
    <xf numFmtId="0" fontId="0" fillId="3" borderId="1" pivotButton="0" quotePrefix="0" xfId="0"/>
    <xf numFmtId="165" fontId="0" fillId="0" borderId="0" pivotButton="0" quotePrefix="0" xfId="0"/>
    <xf numFmtId="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</cols>
  <sheetData>
    <row r="1">
      <c r="A1" s="1" t="inlineStr">
        <is>
          <t>Personal Finance Tracker</t>
        </is>
      </c>
    </row>
    <row r="2">
      <c r="A2" s="2" t="inlineStr">
        <is>
          <t>Source: Chase checking ...0861, statement activity 05/01/2026 - 08/31/2026. Built from your uploaded CSV.</t>
        </is>
      </c>
    </row>
    <row r="3">
      <c r="A3" s="2" t="inlineStr">
        <is>
          <t>Yellow cells are for you to type into. Everything else is a formula and updates itself.</t>
        </is>
      </c>
    </row>
    <row r="5">
      <c r="A5" s="3" t="inlineStr">
        <is>
          <t>This statement period, by group (Checking only)</t>
        </is>
      </c>
    </row>
    <row r="6">
      <c r="A6" s="4" t="inlineStr">
        <is>
          <t>Group</t>
        </is>
      </c>
      <c r="B6" s="4" t="inlineStr">
        <is>
          <t>Total</t>
        </is>
      </c>
      <c r="C6" s="4" t="inlineStr">
        <is>
          <t># Transactions</t>
        </is>
      </c>
    </row>
    <row r="7">
      <c r="A7" s="5" t="inlineStr">
        <is>
          <t>Income</t>
        </is>
      </c>
      <c r="B7" s="6">
        <f>SUMIF(Checking!$H$5:$H$991,A7,Checking!$D$5:$D$991)</f>
        <v/>
      </c>
      <c r="C7" s="7">
        <f>COUNTIF(Checking!$H$5:$H$991,A7)</f>
        <v/>
      </c>
    </row>
    <row r="8">
      <c r="A8" s="5" t="inlineStr">
        <is>
          <t>Monthly Bills</t>
        </is>
      </c>
      <c r="B8" s="6">
        <f>SUMIF(Checking!$H$5:$H$991,A8,Checking!$D$5:$D$991)</f>
        <v/>
      </c>
      <c r="C8" s="7">
        <f>COUNTIF(Checking!$H$5:$H$991,A8)</f>
        <v/>
      </c>
    </row>
    <row r="9">
      <c r="A9" s="5" t="inlineStr">
        <is>
          <t>Expenses</t>
        </is>
      </c>
      <c r="B9" s="6">
        <f>SUMIF(Checking!$H$5:$H$991,A9,Checking!$D$5:$D$991)</f>
        <v/>
      </c>
      <c r="C9" s="7">
        <f>COUNTIF(Checking!$H$5:$H$991,A9)</f>
        <v/>
      </c>
    </row>
    <row r="10">
      <c r="A10" s="5" t="inlineStr">
        <is>
          <t>Debt</t>
        </is>
      </c>
      <c r="B10" s="6">
        <f>SUMIF(Checking!$H$5:$H$991,A10,Checking!$D$5:$D$991)</f>
        <v/>
      </c>
      <c r="C10" s="7">
        <f>COUNTIF(Checking!$H$5:$H$991,A10)</f>
        <v/>
      </c>
    </row>
    <row r="11">
      <c r="A11" s="5" t="inlineStr">
        <is>
          <t>Transfer</t>
        </is>
      </c>
      <c r="B11" s="6">
        <f>SUMIF(Checking!$H$5:$H$991,A11,Checking!$D$5:$D$991)</f>
        <v/>
      </c>
      <c r="C11" s="7">
        <f>COUNTIF(Checking!$H$5:$H$991,A11)</f>
        <v/>
      </c>
    </row>
    <row r="13">
      <c r="A13" s="3" t="inlineStr">
        <is>
          <t>Net cash flow this period (Income + Bills + Expenses + Debt, Transfers excluded)</t>
        </is>
      </c>
      <c r="B13" s="8">
        <f>SUMIF(A7:A11,"Income",B7:B11)+SUMIF(A7:A11,"Monthly Bills",B7:B11)+SUMIF(A7:A11,"Expenses",B7:B11)+SUMIF(A7:A11,"Debt",B7:B11)</f>
        <v/>
      </c>
    </row>
    <row r="16">
      <c r="A16" s="3" t="inlineStr">
        <is>
          <t>Needs your review</t>
        </is>
      </c>
    </row>
    <row r="17">
      <c r="A17" s="9" t="inlineStr">
        <is>
          <t>Transactions I could not confidently categorize (flagged Confidence = R)</t>
        </is>
      </c>
    </row>
    <row r="18">
      <c r="A18" t="inlineStr">
        <is>
          <t>Count:</t>
        </is>
      </c>
      <c r="B18">
        <f>COUNTIF(Checking!$I$5:$I$991,"R")</f>
        <v/>
      </c>
    </row>
    <row r="19">
      <c r="A19" t="inlineStr">
        <is>
          <t>Total $ amount flagged:</t>
        </is>
      </c>
      <c r="B19" s="10">
        <f>SUMIF(Checking!$I$5:$I$991,"R",Checking!$D$5:$D$991)</f>
        <v/>
      </c>
    </row>
    <row r="20">
      <c r="A20" s="2" t="inlineStr">
        <is>
          <t>-&gt; Go to the Checking sheet, use the filter on column I (Confidence), select "R", and read column J (Note) for what I need from you. Full list is also in the 'Open Questions' tab.</t>
        </is>
      </c>
    </row>
    <row r="23">
      <c r="A23" s="2" t="inlineStr">
        <is>
          <t>See also:  Accounts &amp; Balances  |  Categories  |  Checking  |  Savings  |  PayPal  |  Open Questions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62" customWidth="1" min="1" max="1"/>
    <col width="16" customWidth="1" min="2" max="2"/>
    <col width="14" customWidth="1" min="3" max="3"/>
  </cols>
  <sheetData>
    <row r="1">
      <c r="A1" s="1" t="inlineStr">
        <is>
          <t>Accounts &amp; Balances</t>
        </is>
      </c>
    </row>
    <row r="2">
      <c r="A2" s="2" t="inlineStr">
        <is>
          <t>Type your real, current balance from each account into the yellow cells. The Difference row tells you if this tracker matches reality.</t>
        </is>
      </c>
    </row>
    <row r="4">
      <c r="A4" s="11" t="inlineStr">
        <is>
          <t>CHECKING  (Chase ...0861)</t>
        </is>
      </c>
    </row>
    <row r="5">
      <c r="A5" t="inlineStr">
        <is>
          <t>Starting balance (before earliest imported transaction)</t>
        </is>
      </c>
      <c r="B5" s="12" t="n">
        <v>2043.65</v>
      </c>
    </row>
    <row r="6">
      <c r="A6" t="inlineStr">
        <is>
          <t>+ Sum of all transactions imported</t>
        </is>
      </c>
      <c r="B6" s="10">
        <f>SUM(Checking!$D$5:$D$991)</f>
        <v/>
      </c>
    </row>
    <row r="7">
      <c r="A7" s="3">
        <f> Balance this tracker computes</f>
        <v/>
      </c>
      <c r="B7" s="8">
        <f>B5+B6</f>
        <v/>
      </c>
    </row>
    <row r="8">
      <c r="A8" t="inlineStr">
        <is>
          <t>Actual balance per your bank / account (type it in, and the date)</t>
        </is>
      </c>
      <c r="B8" s="12" t="n"/>
      <c r="C8" s="13" t="n"/>
    </row>
    <row r="9">
      <c r="A9" s="3" t="inlineStr">
        <is>
          <t>Difference (should be $0.00 once you enter the actual balance above)</t>
        </is>
      </c>
      <c r="B9" s="10">
        <f>IF(B8="","enter actual balance above",B8-B7)</f>
        <v/>
      </c>
    </row>
    <row r="10">
      <c r="A10" s="2" t="inlineStr">
        <is>
          <t>Starting balance is computed from Chase's own running balance on your statement (the balance just before your oldest imported transaction).</t>
        </is>
      </c>
    </row>
    <row r="12">
      <c r="A12" s="11" t="inlineStr">
        <is>
          <t>SAVINGS  (Chase ...5953)</t>
        </is>
      </c>
    </row>
    <row r="13">
      <c r="A13" t="inlineStr">
        <is>
          <t>Starting balance (before earliest imported transaction)</t>
        </is>
      </c>
      <c r="B13" s="12" t="n">
        <v>0</v>
      </c>
    </row>
    <row r="14">
      <c r="A14" t="inlineStr">
        <is>
          <t>+ Sum of all transactions imported</t>
        </is>
      </c>
      <c r="B14" s="10">
        <f>SUM(Savings!$D$5:$D$304)</f>
        <v/>
      </c>
    </row>
    <row r="15">
      <c r="A15" s="3">
        <f> Balance this tracker computes</f>
        <v/>
      </c>
      <c r="B15" s="8">
        <f>B13+B14</f>
        <v/>
      </c>
    </row>
    <row r="16">
      <c r="A16" t="inlineStr">
        <is>
          <t>Actual balance per your bank / account (type it in, and the date)</t>
        </is>
      </c>
      <c r="B16" s="12" t="n"/>
      <c r="C16" s="13" t="n"/>
    </row>
    <row r="17">
      <c r="A17" s="3" t="inlineStr">
        <is>
          <t>Difference (should be $0.00 once you enter the actual balance above)</t>
        </is>
      </c>
      <c r="B17" s="10">
        <f>IF(B16="","enter actual balance above",B16-B15)</f>
        <v/>
      </c>
    </row>
    <row r="18">
      <c r="A18" s="2" t="inlineStr">
        <is>
          <t>No savings statement imported yet. Once you give me one, I'll set the correct starting balance and this will total itself. For now this cross-checks against the transfers Checking already shows below.</t>
        </is>
      </c>
    </row>
    <row r="20">
      <c r="A20" s="11" t="inlineStr">
        <is>
          <t>PAYPAL</t>
        </is>
      </c>
    </row>
    <row r="21">
      <c r="A21" t="inlineStr">
        <is>
          <t>Starting balance (before earliest imported transaction)</t>
        </is>
      </c>
      <c r="B21" s="12" t="n">
        <v>0</v>
      </c>
    </row>
    <row r="22">
      <c r="A22" t="inlineStr">
        <is>
          <t>+ Sum of all transactions imported</t>
        </is>
      </c>
      <c r="B22" s="10">
        <f>SUM(PayPal!$D$5:$D$304)</f>
        <v/>
      </c>
    </row>
    <row r="23">
      <c r="A23" s="3">
        <f> Balance this tracker computes</f>
        <v/>
      </c>
      <c r="B23" s="8">
        <f>B21+B22</f>
        <v/>
      </c>
    </row>
    <row r="24">
      <c r="A24" t="inlineStr">
        <is>
          <t>Actual balance per your bank / account (type it in, and the date)</t>
        </is>
      </c>
      <c r="B24" s="12" t="n"/>
      <c r="C24" s="13" t="n"/>
    </row>
    <row r="25">
      <c r="A25" s="3" t="inlineStr">
        <is>
          <t>Difference (should be $0.00 once you enter the actual balance above)</t>
        </is>
      </c>
      <c r="B25" s="10">
        <f>IF(B24="","enter actual balance above",B24-B23)</f>
        <v/>
      </c>
    </row>
    <row r="26">
      <c r="A26" s="2" t="inlineStr">
        <is>
          <t>No PayPal statement/export imported yet. Same as Savings above - give me one and I'll wire it up.</t>
        </is>
      </c>
    </row>
    <row r="29">
      <c r="A29" s="3" t="inlineStr">
        <is>
          <t>Cross-check: transfers Checking shows moving to/from other accounts</t>
        </is>
      </c>
    </row>
    <row r="30">
      <c r="A30" t="inlineStr">
        <is>
          <t>Checking -&gt; Savings, this period</t>
        </is>
      </c>
      <c r="B30" s="10">
        <f>-SUMIF(Checking!$H$5:$H$991,"Transfer - Checking to Savings",Checking!$D$5:$D$991)</f>
        <v/>
      </c>
    </row>
    <row r="31">
      <c r="A31" t="inlineStr">
        <is>
          <t>Savings -&gt; Checking, this period</t>
        </is>
      </c>
      <c r="B31" s="10">
        <f>SUMIF(Checking!$H$5:$H$991,"Transfer - Savings to Checking",Checking!$D$5:$D$991)</f>
        <v/>
      </c>
    </row>
    <row r="32">
      <c r="A32" t="inlineStr">
        <is>
          <t>Checking -&gt; PayPal, this period</t>
        </is>
      </c>
      <c r="B32" s="10">
        <f>-SUMIF(Checking!$H$5:$H$991,"Transfer - Checking to PayPal",Checking!$D$5:$D$991)</f>
        <v/>
      </c>
    </row>
    <row r="33">
      <c r="A33" t="inlineStr">
        <is>
          <t>PayPal -&gt; Checking, this period</t>
        </is>
      </c>
      <c r="B33" s="10">
        <f>SUMIF(Checking!$H$5:$H$991,"Transfer - PayPal to Checking",Checking!$D$5:$D$991)</f>
        <v/>
      </c>
    </row>
    <row r="34">
      <c r="A34" s="2" t="inlineStr">
        <is>
          <t>When you add Savings/PayPal statements, these two numbers should match what those accounts show for the same transfers.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15" customWidth="1" min="3" max="3"/>
    <col width="15" customWidth="1" min="4" max="4"/>
    <col width="15" customWidth="1" min="5" max="5"/>
    <col width="16" customWidth="1" min="6" max="6"/>
    <col width="20" customWidth="1" min="7" max="7"/>
  </cols>
  <sheetData>
    <row r="1">
      <c r="A1" s="1" t="inlineStr">
        <is>
          <t>Categories</t>
        </is>
      </c>
    </row>
    <row r="2">
      <c r="A2" s="2" t="inlineStr">
        <is>
          <t>The full category list (your list, plus Income and Transfer groups needed for reconciliation). Totals pull from all three transaction sheets.</t>
        </is>
      </c>
    </row>
    <row r="4">
      <c r="A4" s="4" t="inlineStr">
        <is>
          <t>Group</t>
        </is>
      </c>
      <c r="B4" s="4" t="inlineStr">
        <is>
          <t>Category</t>
        </is>
      </c>
      <c r="C4" s="4" t="inlineStr">
        <is>
          <t>Checking Total</t>
        </is>
      </c>
      <c r="D4" s="4" t="inlineStr">
        <is>
          <t>Savings Total</t>
        </is>
      </c>
      <c r="E4" s="4" t="inlineStr">
        <is>
          <t>PayPal Total</t>
        </is>
      </c>
      <c r="F4" s="4" t="inlineStr">
        <is>
          <t>Combined Total</t>
        </is>
      </c>
      <c r="G4" s="4" t="inlineStr">
        <is>
          <t># Transactions (Checking)</t>
        </is>
      </c>
    </row>
    <row r="5">
      <c r="A5" s="14" t="inlineStr">
        <is>
          <t>Monthly Bills</t>
        </is>
      </c>
      <c r="B5" s="14" t="inlineStr">
        <is>
          <t>Amazon Prime</t>
        </is>
      </c>
      <c r="C5" s="15">
        <f>SUMIF(Checking!$H$5:$H$991,B5,Checking!$D$5:$D$991)</f>
        <v/>
      </c>
      <c r="D5" s="15">
        <f>SUMIF(Savings!$H$5:$H$304,B5,Savings!$D$5:$D$304)</f>
        <v/>
      </c>
      <c r="E5" s="15">
        <f>SUMIF(PayPal!$H$5:$H$304,B5,PayPal!$D$5:$D$304)</f>
        <v/>
      </c>
      <c r="F5" s="15">
        <f>C5+D5+E5</f>
        <v/>
      </c>
      <c r="G5" s="16">
        <f>COUNTIF(Checking!$H$5:$H$991,B5)</f>
        <v/>
      </c>
    </row>
    <row r="6">
      <c r="A6" s="14" t="inlineStr">
        <is>
          <t>Monthly Bills</t>
        </is>
      </c>
      <c r="B6" s="14" t="inlineStr">
        <is>
          <t>Atty Chua</t>
        </is>
      </c>
      <c r="C6" s="15">
        <f>SUMIF(Checking!$H$5:$H$991,B6,Checking!$D$5:$D$991)</f>
        <v/>
      </c>
      <c r="D6" s="15">
        <f>SUMIF(Savings!$H$5:$H$304,B6,Savings!$D$5:$D$304)</f>
        <v/>
      </c>
      <c r="E6" s="15">
        <f>SUMIF(PayPal!$H$5:$H$304,B6,PayPal!$D$5:$D$304)</f>
        <v/>
      </c>
      <c r="F6" s="15">
        <f>C6+D6+E6</f>
        <v/>
      </c>
      <c r="G6" s="16">
        <f>COUNTIF(Checking!$H$5:$H$991,B6)</f>
        <v/>
      </c>
    </row>
    <row r="7">
      <c r="A7" s="14" t="inlineStr">
        <is>
          <t>Monthly Bills</t>
        </is>
      </c>
      <c r="B7" s="14" t="inlineStr">
        <is>
          <t>Cal Water</t>
        </is>
      </c>
      <c r="C7" s="15">
        <f>SUMIF(Checking!$H$5:$H$991,B7,Checking!$D$5:$D$991)</f>
        <v/>
      </c>
      <c r="D7" s="15">
        <f>SUMIF(Savings!$H$5:$H$304,B7,Savings!$D$5:$D$304)</f>
        <v/>
      </c>
      <c r="E7" s="15">
        <f>SUMIF(PayPal!$H$5:$H$304,B7,PayPal!$D$5:$D$304)</f>
        <v/>
      </c>
      <c r="F7" s="15">
        <f>C7+D7+E7</f>
        <v/>
      </c>
      <c r="G7" s="16">
        <f>COUNTIF(Checking!$H$5:$H$991,B7)</f>
        <v/>
      </c>
    </row>
    <row r="8">
      <c r="A8" s="14" t="inlineStr">
        <is>
          <t>Monthly Bills</t>
        </is>
      </c>
      <c r="B8" s="14" t="inlineStr">
        <is>
          <t>Car insurance</t>
        </is>
      </c>
      <c r="C8" s="15">
        <f>SUMIF(Checking!$H$5:$H$991,B8,Checking!$D$5:$D$991)</f>
        <v/>
      </c>
      <c r="D8" s="15">
        <f>SUMIF(Savings!$H$5:$H$304,B8,Savings!$D$5:$D$304)</f>
        <v/>
      </c>
      <c r="E8" s="15">
        <f>SUMIF(PayPal!$H$5:$H$304,B8,PayPal!$D$5:$D$304)</f>
        <v/>
      </c>
      <c r="F8" s="15">
        <f>C8+D8+E8</f>
        <v/>
      </c>
      <c r="G8" s="16">
        <f>COUNTIF(Checking!$H$5:$H$991,B8)</f>
        <v/>
      </c>
    </row>
    <row r="9">
      <c r="A9" s="14" t="inlineStr">
        <is>
          <t>Monthly Bills</t>
        </is>
      </c>
      <c r="B9" s="14" t="inlineStr">
        <is>
          <t>Car payment</t>
        </is>
      </c>
      <c r="C9" s="15">
        <f>SUMIF(Checking!$H$5:$H$991,B9,Checking!$D$5:$D$991)</f>
        <v/>
      </c>
      <c r="D9" s="15">
        <f>SUMIF(Savings!$H$5:$H$304,B9,Savings!$D$5:$D$304)</f>
        <v/>
      </c>
      <c r="E9" s="15">
        <f>SUMIF(PayPal!$H$5:$H$304,B9,PayPal!$D$5:$D$304)</f>
        <v/>
      </c>
      <c r="F9" s="15">
        <f>C9+D9+E9</f>
        <v/>
      </c>
      <c r="G9" s="16">
        <f>COUNTIF(Checking!$H$5:$H$991,B9)</f>
        <v/>
      </c>
    </row>
    <row r="10">
      <c r="A10" s="14" t="inlineStr">
        <is>
          <t>Monthly Bills</t>
        </is>
      </c>
      <c r="B10" s="14" t="inlineStr">
        <is>
          <t>Comcast</t>
        </is>
      </c>
      <c r="C10" s="15">
        <f>SUMIF(Checking!$H$5:$H$991,B10,Checking!$D$5:$D$991)</f>
        <v/>
      </c>
      <c r="D10" s="15">
        <f>SUMIF(Savings!$H$5:$H$304,B10,Savings!$D$5:$D$304)</f>
        <v/>
      </c>
      <c r="E10" s="15">
        <f>SUMIF(PayPal!$H$5:$H$304,B10,PayPal!$D$5:$D$304)</f>
        <v/>
      </c>
      <c r="F10" s="15">
        <f>C10+D10+E10</f>
        <v/>
      </c>
      <c r="G10" s="16">
        <f>COUNTIF(Checking!$H$5:$H$991,B10)</f>
        <v/>
      </c>
    </row>
    <row r="11">
      <c r="A11" s="14" t="inlineStr">
        <is>
          <t>Monthly Bills</t>
        </is>
      </c>
      <c r="B11" s="14" t="inlineStr">
        <is>
          <t>Google 1</t>
        </is>
      </c>
      <c r="C11" s="15">
        <f>SUMIF(Checking!$H$5:$H$991,B11,Checking!$D$5:$D$991)</f>
        <v/>
      </c>
      <c r="D11" s="15">
        <f>SUMIF(Savings!$H$5:$H$304,B11,Savings!$D$5:$D$304)</f>
        <v/>
      </c>
      <c r="E11" s="15">
        <f>SUMIF(PayPal!$H$5:$H$304,B11,PayPal!$D$5:$D$304)</f>
        <v/>
      </c>
      <c r="F11" s="15">
        <f>C11+D11+E11</f>
        <v/>
      </c>
      <c r="G11" s="16">
        <f>COUNTIF(Checking!$H$5:$H$991,B11)</f>
        <v/>
      </c>
    </row>
    <row r="12">
      <c r="A12" s="14" t="inlineStr">
        <is>
          <t>Monthly Bills</t>
        </is>
      </c>
      <c r="B12" s="14" t="inlineStr">
        <is>
          <t>National Life Ins</t>
        </is>
      </c>
      <c r="C12" s="15">
        <f>SUMIF(Checking!$H$5:$H$991,B12,Checking!$D$5:$D$991)</f>
        <v/>
      </c>
      <c r="D12" s="15">
        <f>SUMIF(Savings!$H$5:$H$304,B12,Savings!$D$5:$D$304)</f>
        <v/>
      </c>
      <c r="E12" s="15">
        <f>SUMIF(PayPal!$H$5:$H$304,B12,PayPal!$D$5:$D$304)</f>
        <v/>
      </c>
      <c r="F12" s="15">
        <f>C12+D12+E12</f>
        <v/>
      </c>
      <c r="G12" s="16">
        <f>COUNTIF(Checking!$H$5:$H$991,B12)</f>
        <v/>
      </c>
    </row>
    <row r="13">
      <c r="A13" s="14" t="inlineStr">
        <is>
          <t>Monthly Bills</t>
        </is>
      </c>
      <c r="B13" s="14" t="inlineStr">
        <is>
          <t>Netflix</t>
        </is>
      </c>
      <c r="C13" s="15">
        <f>SUMIF(Checking!$H$5:$H$991,B13,Checking!$D$5:$D$991)</f>
        <v/>
      </c>
      <c r="D13" s="15">
        <f>SUMIF(Savings!$H$5:$H$304,B13,Savings!$D$5:$D$304)</f>
        <v/>
      </c>
      <c r="E13" s="15">
        <f>SUMIF(PayPal!$H$5:$H$304,B13,PayPal!$D$5:$D$304)</f>
        <v/>
      </c>
      <c r="F13" s="15">
        <f>C13+D13+E13</f>
        <v/>
      </c>
      <c r="G13" s="16">
        <f>COUNTIF(Checking!$H$5:$H$991,B13)</f>
        <v/>
      </c>
    </row>
    <row r="14">
      <c r="A14" s="14" t="inlineStr">
        <is>
          <t>Monthly Bills</t>
        </is>
      </c>
      <c r="B14" s="14" t="inlineStr">
        <is>
          <t>Rent</t>
        </is>
      </c>
      <c r="C14" s="15">
        <f>SUMIF(Checking!$H$5:$H$991,B14,Checking!$D$5:$D$991)</f>
        <v/>
      </c>
      <c r="D14" s="15">
        <f>SUMIF(Savings!$H$5:$H$304,B14,Savings!$D$5:$D$304)</f>
        <v/>
      </c>
      <c r="E14" s="15">
        <f>SUMIF(PayPal!$H$5:$H$304,B14,PayPal!$D$5:$D$304)</f>
        <v/>
      </c>
      <c r="F14" s="15">
        <f>C14+D14+E14</f>
        <v/>
      </c>
      <c r="G14" s="16">
        <f>COUNTIF(Checking!$H$5:$H$991,B14)</f>
        <v/>
      </c>
    </row>
    <row r="15">
      <c r="A15" s="14" t="inlineStr">
        <is>
          <t>Monthly Bills</t>
        </is>
      </c>
      <c r="B15" s="14" t="inlineStr">
        <is>
          <t>Roku</t>
        </is>
      </c>
      <c r="C15" s="15">
        <f>SUMIF(Checking!$H$5:$H$991,B15,Checking!$D$5:$D$991)</f>
        <v/>
      </c>
      <c r="D15" s="15">
        <f>SUMIF(Savings!$H$5:$H$304,B15,Savings!$D$5:$D$304)</f>
        <v/>
      </c>
      <c r="E15" s="15">
        <f>SUMIF(PayPal!$H$5:$H$304,B15,PayPal!$D$5:$D$304)</f>
        <v/>
      </c>
      <c r="F15" s="15">
        <f>C15+D15+E15</f>
        <v/>
      </c>
      <c r="G15" s="16">
        <f>COUNTIF(Checking!$H$5:$H$991,B15)</f>
        <v/>
      </c>
    </row>
    <row r="16">
      <c r="A16" s="14" t="inlineStr">
        <is>
          <t>Monthly Bills</t>
        </is>
      </c>
      <c r="B16" s="14" t="inlineStr">
        <is>
          <t>Verizon</t>
        </is>
      </c>
      <c r="C16" s="15">
        <f>SUMIF(Checking!$H$5:$H$991,B16,Checking!$D$5:$D$991)</f>
        <v/>
      </c>
      <c r="D16" s="15">
        <f>SUMIF(Savings!$H$5:$H$304,B16,Savings!$D$5:$D$304)</f>
        <v/>
      </c>
      <c r="E16" s="15">
        <f>SUMIF(PayPal!$H$5:$H$304,B16,PayPal!$D$5:$D$304)</f>
        <v/>
      </c>
      <c r="F16" s="15">
        <f>C16+D16+E16</f>
        <v/>
      </c>
      <c r="G16" s="16">
        <f>COUNTIF(Checking!$H$5:$H$991,B16)</f>
        <v/>
      </c>
    </row>
    <row r="17">
      <c r="A17" s="14" t="inlineStr">
        <is>
          <t>Monthly Bills</t>
        </is>
      </c>
      <c r="B17" s="14" t="inlineStr">
        <is>
          <t>Waste Management</t>
        </is>
      </c>
      <c r="C17" s="15">
        <f>SUMIF(Checking!$H$5:$H$991,B17,Checking!$D$5:$D$991)</f>
        <v/>
      </c>
      <c r="D17" s="15">
        <f>SUMIF(Savings!$H$5:$H$304,B17,Savings!$D$5:$D$304)</f>
        <v/>
      </c>
      <c r="E17" s="15">
        <f>SUMIF(PayPal!$H$5:$H$304,B17,PayPal!$D$5:$D$304)</f>
        <v/>
      </c>
      <c r="F17" s="15">
        <f>C17+D17+E17</f>
        <v/>
      </c>
      <c r="G17" s="16">
        <f>COUNTIF(Checking!$H$5:$H$991,B17)</f>
        <v/>
      </c>
    </row>
    <row r="18">
      <c r="A18" s="14" t="inlineStr">
        <is>
          <t>Monthly Bills</t>
        </is>
      </c>
      <c r="B18" s="14" t="inlineStr">
        <is>
          <t>Yesoulfitness</t>
        </is>
      </c>
      <c r="C18" s="15">
        <f>SUMIF(Checking!$H$5:$H$991,B18,Checking!$D$5:$D$991)</f>
        <v/>
      </c>
      <c r="D18" s="15">
        <f>SUMIF(Savings!$H$5:$H$304,B18,Savings!$D$5:$D$304)</f>
        <v/>
      </c>
      <c r="E18" s="15">
        <f>SUMIF(PayPal!$H$5:$H$304,B18,PayPal!$D$5:$D$304)</f>
        <v/>
      </c>
      <c r="F18" s="15">
        <f>C18+D18+E18</f>
        <v/>
      </c>
      <c r="G18" s="16">
        <f>COUNTIF(Checking!$H$5:$H$991,B18)</f>
        <v/>
      </c>
    </row>
    <row r="19">
      <c r="A19" s="14" t="inlineStr">
        <is>
          <t>Monthly Bills</t>
        </is>
      </c>
      <c r="B19" s="14" t="inlineStr">
        <is>
          <t>YT Premium</t>
        </is>
      </c>
      <c r="C19" s="15">
        <f>SUMIF(Checking!$H$5:$H$991,B19,Checking!$D$5:$D$991)</f>
        <v/>
      </c>
      <c r="D19" s="15">
        <f>SUMIF(Savings!$H$5:$H$304,B19,Savings!$D$5:$D$304)</f>
        <v/>
      </c>
      <c r="E19" s="15">
        <f>SUMIF(PayPal!$H$5:$H$304,B19,PayPal!$D$5:$D$304)</f>
        <v/>
      </c>
      <c r="F19" s="15">
        <f>C19+D19+E19</f>
        <v/>
      </c>
      <c r="G19" s="16">
        <f>COUNTIF(Checking!$H$5:$H$991,B19)</f>
        <v/>
      </c>
    </row>
    <row r="20">
      <c r="A20" s="14" t="inlineStr">
        <is>
          <t>Monthly Bills</t>
        </is>
      </c>
      <c r="B20" s="14" t="inlineStr">
        <is>
          <t>PGE</t>
        </is>
      </c>
      <c r="C20" s="15">
        <f>SUMIF(Checking!$H$5:$H$991,B20,Checking!$D$5:$D$991)</f>
        <v/>
      </c>
      <c r="D20" s="15">
        <f>SUMIF(Savings!$H$5:$H$304,B20,Savings!$D$5:$D$304)</f>
        <v/>
      </c>
      <c r="E20" s="15">
        <f>SUMIF(PayPal!$H$5:$H$304,B20,PayPal!$D$5:$D$304)</f>
        <v/>
      </c>
      <c r="F20" s="15">
        <f>C20+D20+E20</f>
        <v/>
      </c>
      <c r="G20" s="16">
        <f>COUNTIF(Checking!$H$5:$H$991,B20)</f>
        <v/>
      </c>
    </row>
    <row r="21">
      <c r="A21" s="14" t="inlineStr">
        <is>
          <t>Monthly Bills</t>
        </is>
      </c>
      <c r="B21" s="14" t="inlineStr">
        <is>
          <t>Insurance</t>
        </is>
      </c>
      <c r="C21" s="15">
        <f>SUMIF(Checking!$H$5:$H$991,B21,Checking!$D$5:$D$991)</f>
        <v/>
      </c>
      <c r="D21" s="15">
        <f>SUMIF(Savings!$H$5:$H$304,B21,Savings!$D$5:$D$304)</f>
        <v/>
      </c>
      <c r="E21" s="15">
        <f>SUMIF(PayPal!$H$5:$H$304,B21,PayPal!$D$5:$D$304)</f>
        <v/>
      </c>
      <c r="F21" s="15">
        <f>C21+D21+E21</f>
        <v/>
      </c>
      <c r="G21" s="16">
        <f>COUNTIF(Checking!$H$5:$H$991,B21)</f>
        <v/>
      </c>
    </row>
    <row r="22">
      <c r="A22" s="14" t="inlineStr">
        <is>
          <t>Monthly Bills</t>
        </is>
      </c>
      <c r="B22" s="14" t="inlineStr">
        <is>
          <t>Harna fit</t>
        </is>
      </c>
      <c r="C22" s="15">
        <f>SUMIF(Checking!$H$5:$H$991,B22,Checking!$D$5:$D$991)</f>
        <v/>
      </c>
      <c r="D22" s="15">
        <f>SUMIF(Savings!$H$5:$H$304,B22,Savings!$D$5:$D$304)</f>
        <v/>
      </c>
      <c r="E22" s="15">
        <f>SUMIF(PayPal!$H$5:$H$304,B22,PayPal!$D$5:$D$304)</f>
        <v/>
      </c>
      <c r="F22" s="15">
        <f>C22+D22+E22</f>
        <v/>
      </c>
      <c r="G22" s="16">
        <f>COUNTIF(Checking!$H$5:$H$991,B22)</f>
        <v/>
      </c>
    </row>
    <row r="23">
      <c r="A23" s="14" t="inlineStr">
        <is>
          <t>Monthly Bills</t>
        </is>
      </c>
      <c r="B23" s="14" t="inlineStr">
        <is>
          <t>Planet Fitness</t>
        </is>
      </c>
      <c r="C23" s="15">
        <f>SUMIF(Checking!$H$5:$H$991,B23,Checking!$D$5:$D$991)</f>
        <v/>
      </c>
      <c r="D23" s="15">
        <f>SUMIF(Savings!$H$5:$H$304,B23,Savings!$D$5:$D$304)</f>
        <v/>
      </c>
      <c r="E23" s="15">
        <f>SUMIF(PayPal!$H$5:$H$304,B23,PayPal!$D$5:$D$304)</f>
        <v/>
      </c>
      <c r="F23" s="15">
        <f>C23+D23+E23</f>
        <v/>
      </c>
      <c r="G23" s="16">
        <f>COUNTIF(Checking!$H$5:$H$991,B23)</f>
        <v/>
      </c>
    </row>
    <row r="24">
      <c r="A24" s="14" t="inlineStr">
        <is>
          <t>Monthly Bills</t>
        </is>
      </c>
      <c r="B24" s="14" t="inlineStr">
        <is>
          <t>Life 360</t>
        </is>
      </c>
      <c r="C24" s="15">
        <f>SUMIF(Checking!$H$5:$H$991,B24,Checking!$D$5:$D$991)</f>
        <v/>
      </c>
      <c r="D24" s="15">
        <f>SUMIF(Savings!$H$5:$H$304,B24,Savings!$D$5:$D$304)</f>
        <v/>
      </c>
      <c r="E24" s="15">
        <f>SUMIF(PayPal!$H$5:$H$304,B24,PayPal!$D$5:$D$304)</f>
        <v/>
      </c>
      <c r="F24" s="15">
        <f>C24+D24+E24</f>
        <v/>
      </c>
      <c r="G24" s="16">
        <f>COUNTIF(Checking!$H$5:$H$991,B24)</f>
        <v/>
      </c>
    </row>
    <row r="25">
      <c r="A25" s="17" t="inlineStr">
        <is>
          <t>Expenses</t>
        </is>
      </c>
      <c r="B25" s="17" t="inlineStr">
        <is>
          <t>Compass</t>
        </is>
      </c>
      <c r="C25" s="18">
        <f>SUMIF(Checking!$H$5:$H$991,B25,Checking!$D$5:$D$991)</f>
        <v/>
      </c>
      <c r="D25" s="18">
        <f>SUMIF(Savings!$H$5:$H$304,B25,Savings!$D$5:$D$304)</f>
        <v/>
      </c>
      <c r="E25" s="18">
        <f>SUMIF(PayPal!$H$5:$H$304,B25,PayPal!$D$5:$D$304)</f>
        <v/>
      </c>
      <c r="F25" s="18">
        <f>C25+D25+E25</f>
        <v/>
      </c>
      <c r="G25" s="19">
        <f>COUNTIF(Checking!$H$5:$H$991,B25)</f>
        <v/>
      </c>
    </row>
    <row r="26">
      <c r="A26" s="17" t="inlineStr">
        <is>
          <t>Expenses</t>
        </is>
      </c>
      <c r="B26" s="17" t="inlineStr">
        <is>
          <t>CVS</t>
        </is>
      </c>
      <c r="C26" s="18">
        <f>SUMIF(Checking!$H$5:$H$991,B26,Checking!$D$5:$D$991)</f>
        <v/>
      </c>
      <c r="D26" s="18">
        <f>SUMIF(Savings!$H$5:$H$304,B26,Savings!$D$5:$D$304)</f>
        <v/>
      </c>
      <c r="E26" s="18">
        <f>SUMIF(PayPal!$H$5:$H$304,B26,PayPal!$D$5:$D$304)</f>
        <v/>
      </c>
      <c r="F26" s="18">
        <f>C26+D26+E26</f>
        <v/>
      </c>
      <c r="G26" s="19">
        <f>COUNTIF(Checking!$H$5:$H$991,B26)</f>
        <v/>
      </c>
    </row>
    <row r="27">
      <c r="A27" s="17" t="inlineStr">
        <is>
          <t>Expenses</t>
        </is>
      </c>
      <c r="B27" s="17" t="inlineStr">
        <is>
          <t>Doris</t>
        </is>
      </c>
      <c r="C27" s="18">
        <f>SUMIF(Checking!$H$5:$H$991,B27,Checking!$D$5:$D$991)</f>
        <v/>
      </c>
      <c r="D27" s="18">
        <f>SUMIF(Savings!$H$5:$H$304,B27,Savings!$D$5:$D$304)</f>
        <v/>
      </c>
      <c r="E27" s="18">
        <f>SUMIF(PayPal!$H$5:$H$304,B27,PayPal!$D$5:$D$304)</f>
        <v/>
      </c>
      <c r="F27" s="18">
        <f>C27+D27+E27</f>
        <v/>
      </c>
      <c r="G27" s="19">
        <f>COUNTIF(Checking!$H$5:$H$991,B27)</f>
        <v/>
      </c>
    </row>
    <row r="28">
      <c r="A28" s="17" t="inlineStr">
        <is>
          <t>Expenses</t>
        </is>
      </c>
      <c r="B28" s="17" t="inlineStr">
        <is>
          <t>Food - Ailynn</t>
        </is>
      </c>
      <c r="C28" s="18">
        <f>SUMIF(Checking!$H$5:$H$991,B28,Checking!$D$5:$D$991)</f>
        <v/>
      </c>
      <c r="D28" s="18">
        <f>SUMIF(Savings!$H$5:$H$304,B28,Savings!$D$5:$D$304)</f>
        <v/>
      </c>
      <c r="E28" s="18">
        <f>SUMIF(PayPal!$H$5:$H$304,B28,PayPal!$D$5:$D$304)</f>
        <v/>
      </c>
      <c r="F28" s="18">
        <f>C28+D28+E28</f>
        <v/>
      </c>
      <c r="G28" s="19">
        <f>COUNTIF(Checking!$H$5:$H$991,B28)</f>
        <v/>
      </c>
    </row>
    <row r="29">
      <c r="A29" s="17" t="inlineStr">
        <is>
          <t>Expenses</t>
        </is>
      </c>
      <c r="B29" s="17" t="inlineStr">
        <is>
          <t>Food - Chris</t>
        </is>
      </c>
      <c r="C29" s="18">
        <f>SUMIF(Checking!$H$5:$H$991,B29,Checking!$D$5:$D$991)</f>
        <v/>
      </c>
      <c r="D29" s="18">
        <f>SUMIF(Savings!$H$5:$H$304,B29,Savings!$D$5:$D$304)</f>
        <v/>
      </c>
      <c r="E29" s="18">
        <f>SUMIF(PayPal!$H$5:$H$304,B29,PayPal!$D$5:$D$304)</f>
        <v/>
      </c>
      <c r="F29" s="18">
        <f>C29+D29+E29</f>
        <v/>
      </c>
      <c r="G29" s="19">
        <f>COUNTIF(Checking!$H$5:$H$991,B29)</f>
        <v/>
      </c>
    </row>
    <row r="30">
      <c r="A30" s="17" t="inlineStr">
        <is>
          <t>Expenses</t>
        </is>
      </c>
      <c r="B30" s="17" t="inlineStr">
        <is>
          <t>Food - Eat Out</t>
        </is>
      </c>
      <c r="C30" s="18">
        <f>SUMIF(Checking!$H$5:$H$991,B30,Checking!$D$5:$D$991)</f>
        <v/>
      </c>
      <c r="D30" s="18">
        <f>SUMIF(Savings!$H$5:$H$304,B30,Savings!$D$5:$D$304)</f>
        <v/>
      </c>
      <c r="E30" s="18">
        <f>SUMIF(PayPal!$H$5:$H$304,B30,PayPal!$D$5:$D$304)</f>
        <v/>
      </c>
      <c r="F30" s="18">
        <f>C30+D30+E30</f>
        <v/>
      </c>
      <c r="G30" s="19">
        <f>COUNTIF(Checking!$H$5:$H$991,B30)</f>
        <v/>
      </c>
    </row>
    <row r="31">
      <c r="A31" s="17" t="inlineStr">
        <is>
          <t>Expenses</t>
        </is>
      </c>
      <c r="B31" s="17" t="inlineStr">
        <is>
          <t>Food - Misc</t>
        </is>
      </c>
      <c r="C31" s="18">
        <f>SUMIF(Checking!$H$5:$H$991,B31,Checking!$D$5:$D$991)</f>
        <v/>
      </c>
      <c r="D31" s="18">
        <f>SUMIF(Savings!$H$5:$H$304,B31,Savings!$D$5:$D$304)</f>
        <v/>
      </c>
      <c r="E31" s="18">
        <f>SUMIF(PayPal!$H$5:$H$304,B31,PayPal!$D$5:$D$304)</f>
        <v/>
      </c>
      <c r="F31" s="18">
        <f>C31+D31+E31</f>
        <v/>
      </c>
      <c r="G31" s="19">
        <f>COUNTIF(Checking!$H$5:$H$991,B31)</f>
        <v/>
      </c>
    </row>
    <row r="32">
      <c r="A32" s="17" t="inlineStr">
        <is>
          <t>Expenses</t>
        </is>
      </c>
      <c r="B32" s="17" t="inlineStr">
        <is>
          <t>Food - To go</t>
        </is>
      </c>
      <c r="C32" s="18">
        <f>SUMIF(Checking!$H$5:$H$991,B32,Checking!$D$5:$D$991)</f>
        <v/>
      </c>
      <c r="D32" s="18">
        <f>SUMIF(Savings!$H$5:$H$304,B32,Savings!$D$5:$D$304)</f>
        <v/>
      </c>
      <c r="E32" s="18">
        <f>SUMIF(PayPal!$H$5:$H$304,B32,PayPal!$D$5:$D$304)</f>
        <v/>
      </c>
      <c r="F32" s="18">
        <f>C32+D32+E32</f>
        <v/>
      </c>
      <c r="G32" s="19">
        <f>COUNTIF(Checking!$H$5:$H$991,B32)</f>
        <v/>
      </c>
    </row>
    <row r="33">
      <c r="A33" s="17" t="inlineStr">
        <is>
          <t>Expenses</t>
        </is>
      </c>
      <c r="B33" s="17" t="inlineStr">
        <is>
          <t>For Bike</t>
        </is>
      </c>
      <c r="C33" s="18">
        <f>SUMIF(Checking!$H$5:$H$991,B33,Checking!$D$5:$D$991)</f>
        <v/>
      </c>
      <c r="D33" s="18">
        <f>SUMIF(Savings!$H$5:$H$304,B33,Savings!$D$5:$D$304)</f>
        <v/>
      </c>
      <c r="E33" s="18">
        <f>SUMIF(PayPal!$H$5:$H$304,B33,PayPal!$D$5:$D$304)</f>
        <v/>
      </c>
      <c r="F33" s="18">
        <f>C33+D33+E33</f>
        <v/>
      </c>
      <c r="G33" s="19">
        <f>COUNTIF(Checking!$H$5:$H$991,B33)</f>
        <v/>
      </c>
    </row>
    <row r="34">
      <c r="A34" s="17" t="inlineStr">
        <is>
          <t>Expenses</t>
        </is>
      </c>
      <c r="B34" s="17" t="inlineStr">
        <is>
          <t>For Car</t>
        </is>
      </c>
      <c r="C34" s="18">
        <f>SUMIF(Checking!$H$5:$H$991,B34,Checking!$D$5:$D$991)</f>
        <v/>
      </c>
      <c r="D34" s="18">
        <f>SUMIF(Savings!$H$5:$H$304,B34,Savings!$D$5:$D$304)</f>
        <v/>
      </c>
      <c r="E34" s="18">
        <f>SUMIF(PayPal!$H$5:$H$304,B34,PayPal!$D$5:$D$304)</f>
        <v/>
      </c>
      <c r="F34" s="18">
        <f>C34+D34+E34</f>
        <v/>
      </c>
      <c r="G34" s="19">
        <f>COUNTIF(Checking!$H$5:$H$991,B34)</f>
        <v/>
      </c>
    </row>
    <row r="35">
      <c r="A35" s="17" t="inlineStr">
        <is>
          <t>Expenses</t>
        </is>
      </c>
      <c r="B35" s="17" t="inlineStr">
        <is>
          <t>Gas</t>
        </is>
      </c>
      <c r="C35" s="18">
        <f>SUMIF(Checking!$H$5:$H$991,B35,Checking!$D$5:$D$991)</f>
        <v/>
      </c>
      <c r="D35" s="18">
        <f>SUMIF(Savings!$H$5:$H$304,B35,Savings!$D$5:$D$304)</f>
        <v/>
      </c>
      <c r="E35" s="18">
        <f>SUMIF(PayPal!$H$5:$H$304,B35,PayPal!$D$5:$D$304)</f>
        <v/>
      </c>
      <c r="F35" s="18">
        <f>C35+D35+E35</f>
        <v/>
      </c>
      <c r="G35" s="19">
        <f>COUNTIF(Checking!$H$5:$H$991,B35)</f>
        <v/>
      </c>
    </row>
    <row r="36">
      <c r="A36" s="17" t="inlineStr">
        <is>
          <t>Expenses</t>
        </is>
      </c>
      <c r="B36" s="17" t="inlineStr">
        <is>
          <t>Groceries - Costco</t>
        </is>
      </c>
      <c r="C36" s="18">
        <f>SUMIF(Checking!$H$5:$H$991,B36,Checking!$D$5:$D$991)</f>
        <v/>
      </c>
      <c r="D36" s="18">
        <f>SUMIF(Savings!$H$5:$H$304,B36,Savings!$D$5:$D$304)</f>
        <v/>
      </c>
      <c r="E36" s="18">
        <f>SUMIF(PayPal!$H$5:$H$304,B36,PayPal!$D$5:$D$304)</f>
        <v/>
      </c>
      <c r="F36" s="18">
        <f>C36+D36+E36</f>
        <v/>
      </c>
      <c r="G36" s="19">
        <f>COUNTIF(Checking!$H$5:$H$991,B36)</f>
        <v/>
      </c>
    </row>
    <row r="37">
      <c r="A37" s="17" t="inlineStr">
        <is>
          <t>Expenses</t>
        </is>
      </c>
      <c r="B37" s="17" t="inlineStr">
        <is>
          <t>Groceries - Others</t>
        </is>
      </c>
      <c r="C37" s="18">
        <f>SUMIF(Checking!$H$5:$H$991,B37,Checking!$D$5:$D$991)</f>
        <v/>
      </c>
      <c r="D37" s="18">
        <f>SUMIF(Savings!$H$5:$H$304,B37,Savings!$D$5:$D$304)</f>
        <v/>
      </c>
      <c r="E37" s="18">
        <f>SUMIF(PayPal!$H$5:$H$304,B37,PayPal!$D$5:$D$304)</f>
        <v/>
      </c>
      <c r="F37" s="18">
        <f>C37+D37+E37</f>
        <v/>
      </c>
      <c r="G37" s="19">
        <f>COUNTIF(Checking!$H$5:$H$991,B37)</f>
        <v/>
      </c>
    </row>
    <row r="38">
      <c r="A38" s="17" t="inlineStr">
        <is>
          <t>Expenses</t>
        </is>
      </c>
      <c r="B38" s="17" t="inlineStr">
        <is>
          <t>Groceries - Safeway</t>
        </is>
      </c>
      <c r="C38" s="18">
        <f>SUMIF(Checking!$H$5:$H$991,B38,Checking!$D$5:$D$991)</f>
        <v/>
      </c>
      <c r="D38" s="18">
        <f>SUMIF(Savings!$H$5:$H$304,B38,Savings!$D$5:$D$304)</f>
        <v/>
      </c>
      <c r="E38" s="18">
        <f>SUMIF(PayPal!$H$5:$H$304,B38,PayPal!$D$5:$D$304)</f>
        <v/>
      </c>
      <c r="F38" s="18">
        <f>C38+D38+E38</f>
        <v/>
      </c>
      <c r="G38" s="19">
        <f>COUNTIF(Checking!$H$5:$H$991,B38)</f>
        <v/>
      </c>
    </row>
    <row r="39">
      <c r="A39" s="17" t="inlineStr">
        <is>
          <t>Expenses</t>
        </is>
      </c>
      <c r="B39" s="17" t="inlineStr">
        <is>
          <t>Groceries - Santa Fe</t>
        </is>
      </c>
      <c r="C39" s="18">
        <f>SUMIF(Checking!$H$5:$H$991,B39,Checking!$D$5:$D$991)</f>
        <v/>
      </c>
      <c r="D39" s="18">
        <f>SUMIF(Savings!$H$5:$H$304,B39,Savings!$D$5:$D$304)</f>
        <v/>
      </c>
      <c r="E39" s="18">
        <f>SUMIF(PayPal!$H$5:$H$304,B39,PayPal!$D$5:$D$304)</f>
        <v/>
      </c>
      <c r="F39" s="18">
        <f>C39+D39+E39</f>
        <v/>
      </c>
      <c r="G39" s="19">
        <f>COUNTIF(Checking!$H$5:$H$991,B39)</f>
        <v/>
      </c>
    </row>
    <row r="40">
      <c r="A40" s="17" t="inlineStr">
        <is>
          <t>Expenses</t>
        </is>
      </c>
      <c r="B40" s="17" t="inlineStr">
        <is>
          <t>Groceries - Steves</t>
        </is>
      </c>
      <c r="C40" s="18">
        <f>SUMIF(Checking!$H$5:$H$991,B40,Checking!$D$5:$D$991)</f>
        <v/>
      </c>
      <c r="D40" s="18">
        <f>SUMIF(Savings!$H$5:$H$304,B40,Savings!$D$5:$D$304)</f>
        <v/>
      </c>
      <c r="E40" s="18">
        <f>SUMIF(PayPal!$H$5:$H$304,B40,PayPal!$D$5:$D$304)</f>
        <v/>
      </c>
      <c r="F40" s="18">
        <f>C40+D40+E40</f>
        <v/>
      </c>
      <c r="G40" s="19">
        <f>COUNTIF(Checking!$H$5:$H$991,B40)</f>
        <v/>
      </c>
    </row>
    <row r="41">
      <c r="A41" s="17" t="inlineStr">
        <is>
          <t>Expenses</t>
        </is>
      </c>
      <c r="B41" s="17" t="inlineStr">
        <is>
          <t>Groceries - Walmart</t>
        </is>
      </c>
      <c r="C41" s="18">
        <f>SUMIF(Checking!$H$5:$H$991,B41,Checking!$D$5:$D$991)</f>
        <v/>
      </c>
      <c r="D41" s="18">
        <f>SUMIF(Savings!$H$5:$H$304,B41,Savings!$D$5:$D$304)</f>
        <v/>
      </c>
      <c r="E41" s="18">
        <f>SUMIF(PayPal!$H$5:$H$304,B41,PayPal!$D$5:$D$304)</f>
        <v/>
      </c>
      <c r="F41" s="18">
        <f>C41+D41+E41</f>
        <v/>
      </c>
      <c r="G41" s="19">
        <f>COUNTIF(Checking!$H$5:$H$991,B41)</f>
        <v/>
      </c>
    </row>
    <row r="42">
      <c r="A42" s="17" t="inlineStr">
        <is>
          <t>Expenses</t>
        </is>
      </c>
      <c r="B42" s="17" t="inlineStr">
        <is>
          <t>Lawyer</t>
        </is>
      </c>
      <c r="C42" s="18">
        <f>SUMIF(Checking!$H$5:$H$991,B42,Checking!$D$5:$D$991)</f>
        <v/>
      </c>
      <c r="D42" s="18">
        <f>SUMIF(Savings!$H$5:$H$304,B42,Savings!$D$5:$D$304)</f>
        <v/>
      </c>
      <c r="E42" s="18">
        <f>SUMIF(PayPal!$H$5:$H$304,B42,PayPal!$D$5:$D$304)</f>
        <v/>
      </c>
      <c r="F42" s="18">
        <f>C42+D42+E42</f>
        <v/>
      </c>
      <c r="G42" s="19">
        <f>COUNTIF(Checking!$H$5:$H$991,B42)</f>
        <v/>
      </c>
    </row>
    <row r="43">
      <c r="A43" s="17" t="inlineStr">
        <is>
          <t>Expenses</t>
        </is>
      </c>
      <c r="B43" s="17" t="inlineStr">
        <is>
          <t>Medical</t>
        </is>
      </c>
      <c r="C43" s="18">
        <f>SUMIF(Checking!$H$5:$H$991,B43,Checking!$D$5:$D$991)</f>
        <v/>
      </c>
      <c r="D43" s="18">
        <f>SUMIF(Savings!$H$5:$H$304,B43,Savings!$D$5:$D$304)</f>
        <v/>
      </c>
      <c r="E43" s="18">
        <f>SUMIF(PayPal!$H$5:$H$304,B43,PayPal!$D$5:$D$304)</f>
        <v/>
      </c>
      <c r="F43" s="18">
        <f>C43+D43+E43</f>
        <v/>
      </c>
      <c r="G43" s="19">
        <f>COUNTIF(Checking!$H$5:$H$991,B43)</f>
        <v/>
      </c>
    </row>
    <row r="44">
      <c r="A44" s="17" t="inlineStr">
        <is>
          <t>Expenses</t>
        </is>
      </c>
      <c r="B44" s="17" t="inlineStr">
        <is>
          <t>Misc - Gail</t>
        </is>
      </c>
      <c r="C44" s="18">
        <f>SUMIF(Checking!$H$5:$H$991,B44,Checking!$D$5:$D$991)</f>
        <v/>
      </c>
      <c r="D44" s="18">
        <f>SUMIF(Savings!$H$5:$H$304,B44,Savings!$D$5:$D$304)</f>
        <v/>
      </c>
      <c r="E44" s="18">
        <f>SUMIF(PayPal!$H$5:$H$304,B44,PayPal!$D$5:$D$304)</f>
        <v/>
      </c>
      <c r="F44" s="18">
        <f>C44+D44+E44</f>
        <v/>
      </c>
      <c r="G44" s="19">
        <f>COUNTIF(Checking!$H$5:$H$991,B44)</f>
        <v/>
      </c>
    </row>
    <row r="45">
      <c r="A45" s="17" t="inlineStr">
        <is>
          <t>Expenses</t>
        </is>
      </c>
      <c r="B45" s="17" t="inlineStr">
        <is>
          <t>Misc - gail gown and cap</t>
        </is>
      </c>
      <c r="C45" s="18">
        <f>SUMIF(Checking!$H$5:$H$991,B45,Checking!$D$5:$D$991)</f>
        <v/>
      </c>
      <c r="D45" s="18">
        <f>SUMIF(Savings!$H$5:$H$304,B45,Savings!$D$5:$D$304)</f>
        <v/>
      </c>
      <c r="E45" s="18">
        <f>SUMIF(PayPal!$H$5:$H$304,B45,PayPal!$D$5:$D$304)</f>
        <v/>
      </c>
      <c r="F45" s="18">
        <f>C45+D45+E45</f>
        <v/>
      </c>
      <c r="G45" s="19">
        <f>COUNTIF(Checking!$H$5:$H$991,B45)</f>
        <v/>
      </c>
    </row>
    <row r="46">
      <c r="A46" s="17" t="inlineStr">
        <is>
          <t>Expenses</t>
        </is>
      </c>
      <c r="B46" s="17" t="inlineStr">
        <is>
          <t>Movie</t>
        </is>
      </c>
      <c r="C46" s="18">
        <f>SUMIF(Checking!$H$5:$H$991,B46,Checking!$D$5:$D$991)</f>
        <v/>
      </c>
      <c r="D46" s="18">
        <f>SUMIF(Savings!$H$5:$H$304,B46,Savings!$D$5:$D$304)</f>
        <v/>
      </c>
      <c r="E46" s="18">
        <f>SUMIF(PayPal!$H$5:$H$304,B46,PayPal!$D$5:$D$304)</f>
        <v/>
      </c>
      <c r="F46" s="18">
        <f>C46+D46+E46</f>
        <v/>
      </c>
      <c r="G46" s="19">
        <f>COUNTIF(Checking!$H$5:$H$991,B46)</f>
        <v/>
      </c>
    </row>
    <row r="47">
      <c r="A47" s="17" t="inlineStr">
        <is>
          <t>Expenses</t>
        </is>
      </c>
      <c r="B47" s="17" t="inlineStr">
        <is>
          <t>Others</t>
        </is>
      </c>
      <c r="C47" s="18">
        <f>SUMIF(Checking!$H$5:$H$991,B47,Checking!$D$5:$D$991)</f>
        <v/>
      </c>
      <c r="D47" s="18">
        <f>SUMIF(Savings!$H$5:$H$304,B47,Savings!$D$5:$D$304)</f>
        <v/>
      </c>
      <c r="E47" s="18">
        <f>SUMIF(PayPal!$H$5:$H$304,B47,PayPal!$D$5:$D$304)</f>
        <v/>
      </c>
      <c r="F47" s="18">
        <f>C47+D47+E47</f>
        <v/>
      </c>
      <c r="G47" s="19">
        <f>COUNTIF(Checking!$H$5:$H$991,B47)</f>
        <v/>
      </c>
    </row>
    <row r="48">
      <c r="A48" s="17" t="inlineStr">
        <is>
          <t>Expenses</t>
        </is>
      </c>
      <c r="B48" s="17" t="inlineStr">
        <is>
          <t>paypal tiktok</t>
        </is>
      </c>
      <c r="C48" s="18">
        <f>SUMIF(Checking!$H$5:$H$991,B48,Checking!$D$5:$D$991)</f>
        <v/>
      </c>
      <c r="D48" s="18">
        <f>SUMIF(Savings!$H$5:$H$304,B48,Savings!$D$5:$D$304)</f>
        <v/>
      </c>
      <c r="E48" s="18">
        <f>SUMIF(PayPal!$H$5:$H$304,B48,PayPal!$D$5:$D$304)</f>
        <v/>
      </c>
      <c r="F48" s="18">
        <f>C48+D48+E48</f>
        <v/>
      </c>
      <c r="G48" s="19">
        <f>COUNTIF(Checking!$H$5:$H$991,B48)</f>
        <v/>
      </c>
    </row>
    <row r="49">
      <c r="A49" s="17" t="inlineStr">
        <is>
          <t>Expenses</t>
        </is>
      </c>
      <c r="B49" s="17" t="inlineStr">
        <is>
          <t>Remittance - Aron</t>
        </is>
      </c>
      <c r="C49" s="18">
        <f>SUMIF(Checking!$H$5:$H$991,B49,Checking!$D$5:$D$991)</f>
        <v/>
      </c>
      <c r="D49" s="18">
        <f>SUMIF(Savings!$H$5:$H$304,B49,Savings!$D$5:$D$304)</f>
        <v/>
      </c>
      <c r="E49" s="18">
        <f>SUMIF(PayPal!$H$5:$H$304,B49,PayPal!$D$5:$D$304)</f>
        <v/>
      </c>
      <c r="F49" s="18">
        <f>C49+D49+E49</f>
        <v/>
      </c>
      <c r="G49" s="19">
        <f>COUNTIF(Checking!$H$5:$H$991,B49)</f>
        <v/>
      </c>
    </row>
    <row r="50">
      <c r="A50" s="17" t="inlineStr">
        <is>
          <t>Expenses</t>
        </is>
      </c>
      <c r="B50" s="17" t="inlineStr">
        <is>
          <t>Remittance - Aron tuition</t>
        </is>
      </c>
      <c r="C50" s="18">
        <f>SUMIF(Checking!$H$5:$H$991,B50,Checking!$D$5:$D$991)</f>
        <v/>
      </c>
      <c r="D50" s="18">
        <f>SUMIF(Savings!$H$5:$H$304,B50,Savings!$D$5:$D$304)</f>
        <v/>
      </c>
      <c r="E50" s="18">
        <f>SUMIF(PayPal!$H$5:$H$304,B50,PayPal!$D$5:$D$304)</f>
        <v/>
      </c>
      <c r="F50" s="18">
        <f>C50+D50+E50</f>
        <v/>
      </c>
      <c r="G50" s="19">
        <f>COUNTIF(Checking!$H$5:$H$991,B50)</f>
        <v/>
      </c>
    </row>
    <row r="51">
      <c r="A51" s="17" t="inlineStr">
        <is>
          <t>Expenses</t>
        </is>
      </c>
      <c r="B51" s="17" t="inlineStr">
        <is>
          <t>Remittance - others</t>
        </is>
      </c>
      <c r="C51" s="18">
        <f>SUMIF(Checking!$H$5:$H$991,B51,Checking!$D$5:$D$991)</f>
        <v/>
      </c>
      <c r="D51" s="18">
        <f>SUMIF(Savings!$H$5:$H$304,B51,Savings!$D$5:$D$304)</f>
        <v/>
      </c>
      <c r="E51" s="18">
        <f>SUMIF(PayPal!$H$5:$H$304,B51,PayPal!$D$5:$D$304)</f>
        <v/>
      </c>
      <c r="F51" s="18">
        <f>C51+D51+E51</f>
        <v/>
      </c>
      <c r="G51" s="19">
        <f>COUNTIF(Checking!$H$5:$H$991,B51)</f>
        <v/>
      </c>
    </row>
    <row r="52">
      <c r="A52" s="17" t="inlineStr">
        <is>
          <t>Expenses</t>
        </is>
      </c>
      <c r="B52" s="17" t="inlineStr">
        <is>
          <t>Salinas Valley Dr</t>
        </is>
      </c>
      <c r="C52" s="18">
        <f>SUMIF(Checking!$H$5:$H$991,B52,Checking!$D$5:$D$991)</f>
        <v/>
      </c>
      <c r="D52" s="18">
        <f>SUMIF(Savings!$H$5:$H$304,B52,Savings!$D$5:$D$304)</f>
        <v/>
      </c>
      <c r="E52" s="18">
        <f>SUMIF(PayPal!$H$5:$H$304,B52,PayPal!$D$5:$D$304)</f>
        <v/>
      </c>
      <c r="F52" s="18">
        <f>C52+D52+E52</f>
        <v/>
      </c>
      <c r="G52" s="19">
        <f>COUNTIF(Checking!$H$5:$H$991,B52)</f>
        <v/>
      </c>
    </row>
    <row r="53">
      <c r="A53" s="17" t="inlineStr">
        <is>
          <t>Expenses</t>
        </is>
      </c>
      <c r="B53" s="17" t="inlineStr">
        <is>
          <t>Shop - Amazon</t>
        </is>
      </c>
      <c r="C53" s="18">
        <f>SUMIF(Checking!$H$5:$H$991,B53,Checking!$D$5:$D$991)</f>
        <v/>
      </c>
      <c r="D53" s="18">
        <f>SUMIF(Savings!$H$5:$H$304,B53,Savings!$D$5:$D$304)</f>
        <v/>
      </c>
      <c r="E53" s="18">
        <f>SUMIF(PayPal!$H$5:$H$304,B53,PayPal!$D$5:$D$304)</f>
        <v/>
      </c>
      <c r="F53" s="18">
        <f>C53+D53+E53</f>
        <v/>
      </c>
      <c r="G53" s="19">
        <f>COUNTIF(Checking!$H$5:$H$991,B53)</f>
        <v/>
      </c>
    </row>
    <row r="54">
      <c r="A54" s="17" t="inlineStr">
        <is>
          <t>Expenses</t>
        </is>
      </c>
      <c r="B54" s="17" t="inlineStr">
        <is>
          <t>Shop - Amazon returns</t>
        </is>
      </c>
      <c r="C54" s="18">
        <f>SUMIF(Checking!$H$5:$H$991,B54,Checking!$D$5:$D$991)</f>
        <v/>
      </c>
      <c r="D54" s="18">
        <f>SUMIF(Savings!$H$5:$H$304,B54,Savings!$D$5:$D$304)</f>
        <v/>
      </c>
      <c r="E54" s="18">
        <f>SUMIF(PayPal!$H$5:$H$304,B54,PayPal!$D$5:$D$304)</f>
        <v/>
      </c>
      <c r="F54" s="18">
        <f>C54+D54+E54</f>
        <v/>
      </c>
      <c r="G54" s="19">
        <f>COUNTIF(Checking!$H$5:$H$991,B54)</f>
        <v/>
      </c>
    </row>
    <row r="55">
      <c r="A55" s="17" t="inlineStr">
        <is>
          <t>Expenses</t>
        </is>
      </c>
      <c r="B55" s="17" t="inlineStr">
        <is>
          <t>Shop - Goodwill</t>
        </is>
      </c>
      <c r="C55" s="18">
        <f>SUMIF(Checking!$H$5:$H$991,B55,Checking!$D$5:$D$991)</f>
        <v/>
      </c>
      <c r="D55" s="18">
        <f>SUMIF(Savings!$H$5:$H$304,B55,Savings!$D$5:$D$304)</f>
        <v/>
      </c>
      <c r="E55" s="18">
        <f>SUMIF(PayPal!$H$5:$H$304,B55,PayPal!$D$5:$D$304)</f>
        <v/>
      </c>
      <c r="F55" s="18">
        <f>C55+D55+E55</f>
        <v/>
      </c>
      <c r="G55" s="19">
        <f>COUNTIF(Checking!$H$5:$H$991,B55)</f>
        <v/>
      </c>
    </row>
    <row r="56">
      <c r="A56" s="17" t="inlineStr">
        <is>
          <t>Expenses</t>
        </is>
      </c>
      <c r="B56" s="17" t="inlineStr">
        <is>
          <t>Shop - Others</t>
        </is>
      </c>
      <c r="C56" s="18">
        <f>SUMIF(Checking!$H$5:$H$991,B56,Checking!$D$5:$D$991)</f>
        <v/>
      </c>
      <c r="D56" s="18">
        <f>SUMIF(Savings!$H$5:$H$304,B56,Savings!$D$5:$D$304)</f>
        <v/>
      </c>
      <c r="E56" s="18">
        <f>SUMIF(PayPal!$H$5:$H$304,B56,PayPal!$D$5:$D$304)</f>
        <v/>
      </c>
      <c r="F56" s="18">
        <f>C56+D56+E56</f>
        <v/>
      </c>
      <c r="G56" s="19">
        <f>COUNTIF(Checking!$H$5:$H$991,B56)</f>
        <v/>
      </c>
    </row>
    <row r="57">
      <c r="A57" s="17" t="inlineStr">
        <is>
          <t>Expenses</t>
        </is>
      </c>
      <c r="B57" s="17" t="inlineStr">
        <is>
          <t>Shop - Ross</t>
        </is>
      </c>
      <c r="C57" s="18">
        <f>SUMIF(Checking!$H$5:$H$991,B57,Checking!$D$5:$D$991)</f>
        <v/>
      </c>
      <c r="D57" s="18">
        <f>SUMIF(Savings!$H$5:$H$304,B57,Savings!$D$5:$D$304)</f>
        <v/>
      </c>
      <c r="E57" s="18">
        <f>SUMIF(PayPal!$H$5:$H$304,B57,PayPal!$D$5:$D$304)</f>
        <v/>
      </c>
      <c r="F57" s="18">
        <f>C57+D57+E57</f>
        <v/>
      </c>
      <c r="G57" s="19">
        <f>COUNTIF(Checking!$H$5:$H$991,B57)</f>
        <v/>
      </c>
    </row>
    <row r="58">
      <c r="A58" s="17" t="inlineStr">
        <is>
          <t>Expenses</t>
        </is>
      </c>
      <c r="B58" s="17" t="inlineStr">
        <is>
          <t>Shop - Shein</t>
        </is>
      </c>
      <c r="C58" s="18">
        <f>SUMIF(Checking!$H$5:$H$991,B58,Checking!$D$5:$D$991)</f>
        <v/>
      </c>
      <c r="D58" s="18">
        <f>SUMIF(Savings!$H$5:$H$304,B58,Savings!$D$5:$D$304)</f>
        <v/>
      </c>
      <c r="E58" s="18">
        <f>SUMIF(PayPal!$H$5:$H$304,B58,PayPal!$D$5:$D$304)</f>
        <v/>
      </c>
      <c r="F58" s="18">
        <f>C58+D58+E58</f>
        <v/>
      </c>
      <c r="G58" s="19">
        <f>COUNTIF(Checking!$H$5:$H$991,B58)</f>
        <v/>
      </c>
    </row>
    <row r="59">
      <c r="A59" s="17" t="inlineStr">
        <is>
          <t>Expenses</t>
        </is>
      </c>
      <c r="B59" s="17" t="inlineStr">
        <is>
          <t>Shop - Temu</t>
        </is>
      </c>
      <c r="C59" s="18">
        <f>SUMIF(Checking!$H$5:$H$991,B59,Checking!$D$5:$D$991)</f>
        <v/>
      </c>
      <c r="D59" s="18">
        <f>SUMIF(Savings!$H$5:$H$304,B59,Savings!$D$5:$D$304)</f>
        <v/>
      </c>
      <c r="E59" s="18">
        <f>SUMIF(PayPal!$H$5:$H$304,B59,PayPal!$D$5:$D$304)</f>
        <v/>
      </c>
      <c r="F59" s="18">
        <f>C59+D59+E59</f>
        <v/>
      </c>
      <c r="G59" s="19">
        <f>COUNTIF(Checking!$H$5:$H$991,B59)</f>
        <v/>
      </c>
    </row>
    <row r="60">
      <c r="A60" s="17" t="inlineStr">
        <is>
          <t>Expenses</t>
        </is>
      </c>
      <c r="B60" s="17" t="inlineStr">
        <is>
          <t>Shop - Tiktok</t>
        </is>
      </c>
      <c r="C60" s="18">
        <f>SUMIF(Checking!$H$5:$H$991,B60,Checking!$D$5:$D$991)</f>
        <v/>
      </c>
      <c r="D60" s="18">
        <f>SUMIF(Savings!$H$5:$H$304,B60,Savings!$D$5:$D$304)</f>
        <v/>
      </c>
      <c r="E60" s="18">
        <f>SUMIF(PayPal!$H$5:$H$304,B60,PayPal!$D$5:$D$304)</f>
        <v/>
      </c>
      <c r="F60" s="18">
        <f>C60+D60+E60</f>
        <v/>
      </c>
      <c r="G60" s="19">
        <f>COUNTIF(Checking!$H$5:$H$991,B60)</f>
        <v/>
      </c>
    </row>
    <row r="61">
      <c r="A61" s="17" t="inlineStr">
        <is>
          <t>Expenses</t>
        </is>
      </c>
      <c r="B61" s="17" t="inlineStr">
        <is>
          <t>Shop - Whatnot</t>
        </is>
      </c>
      <c r="C61" s="18">
        <f>SUMIF(Checking!$H$5:$H$991,B61,Checking!$D$5:$D$991)</f>
        <v/>
      </c>
      <c r="D61" s="18">
        <f>SUMIF(Savings!$H$5:$H$304,B61,Savings!$D$5:$D$304)</f>
        <v/>
      </c>
      <c r="E61" s="18">
        <f>SUMIF(PayPal!$H$5:$H$304,B61,PayPal!$D$5:$D$304)</f>
        <v/>
      </c>
      <c r="F61" s="18">
        <f>C61+D61+E61</f>
        <v/>
      </c>
      <c r="G61" s="19">
        <f>COUNTIF(Checking!$H$5:$H$991,B61)</f>
        <v/>
      </c>
    </row>
    <row r="62">
      <c r="A62" s="17" t="inlineStr">
        <is>
          <t>Expenses</t>
        </is>
      </c>
      <c r="B62" s="17" t="inlineStr">
        <is>
          <t>Vacation</t>
        </is>
      </c>
      <c r="C62" s="18">
        <f>SUMIF(Checking!$H$5:$H$991,B62,Checking!$D$5:$D$991)</f>
        <v/>
      </c>
      <c r="D62" s="18">
        <f>SUMIF(Savings!$H$5:$H$304,B62,Savings!$D$5:$D$304)</f>
        <v/>
      </c>
      <c r="E62" s="18">
        <f>SUMIF(PayPal!$H$5:$H$304,B62,PayPal!$D$5:$D$304)</f>
        <v/>
      </c>
      <c r="F62" s="18">
        <f>C62+D62+E62</f>
        <v/>
      </c>
      <c r="G62" s="19">
        <f>COUNTIF(Checking!$H$5:$H$991,B62)</f>
        <v/>
      </c>
    </row>
    <row r="63">
      <c r="A63" s="17" t="inlineStr">
        <is>
          <t>Expenses</t>
        </is>
      </c>
      <c r="B63" s="17" t="inlineStr">
        <is>
          <t>Water</t>
        </is>
      </c>
      <c r="C63" s="18">
        <f>SUMIF(Checking!$H$5:$H$991,B63,Checking!$D$5:$D$991)</f>
        <v/>
      </c>
      <c r="D63" s="18">
        <f>SUMIF(Savings!$H$5:$H$304,B63,Savings!$D$5:$D$304)</f>
        <v/>
      </c>
      <c r="E63" s="18">
        <f>SUMIF(PayPal!$H$5:$H$304,B63,PayPal!$D$5:$D$304)</f>
        <v/>
      </c>
      <c r="F63" s="18">
        <f>C63+D63+E63</f>
        <v/>
      </c>
      <c r="G63" s="19">
        <f>COUNTIF(Checking!$H$5:$H$991,B63)</f>
        <v/>
      </c>
    </row>
    <row r="64">
      <c r="A64" s="20" t="inlineStr">
        <is>
          <t>Debt</t>
        </is>
      </c>
      <c r="B64" s="20" t="inlineStr">
        <is>
          <t>Affirm</t>
        </is>
      </c>
      <c r="C64" s="21">
        <f>SUMIF(Checking!$H$5:$H$991,B64,Checking!$D$5:$D$991)</f>
        <v/>
      </c>
      <c r="D64" s="21">
        <f>SUMIF(Savings!$H$5:$H$304,B64,Savings!$D$5:$D$304)</f>
        <v/>
      </c>
      <c r="E64" s="21">
        <f>SUMIF(PayPal!$H$5:$H$304,B64,PayPal!$D$5:$D$304)</f>
        <v/>
      </c>
      <c r="F64" s="21">
        <f>C64+D64+E64</f>
        <v/>
      </c>
      <c r="G64" s="22">
        <f>COUNTIF(Checking!$H$5:$H$991,B64)</f>
        <v/>
      </c>
    </row>
    <row r="65">
      <c r="A65" s="20" t="inlineStr">
        <is>
          <t>Debt</t>
        </is>
      </c>
      <c r="B65" s="20" t="inlineStr">
        <is>
          <t>Upgrade</t>
        </is>
      </c>
      <c r="C65" s="21">
        <f>SUMIF(Checking!$H$5:$H$991,B65,Checking!$D$5:$D$991)</f>
        <v/>
      </c>
      <c r="D65" s="21">
        <f>SUMIF(Savings!$H$5:$H$304,B65,Savings!$D$5:$D$304)</f>
        <v/>
      </c>
      <c r="E65" s="21">
        <f>SUMIF(PayPal!$H$5:$H$304,B65,PayPal!$D$5:$D$304)</f>
        <v/>
      </c>
      <c r="F65" s="21">
        <f>C65+D65+E65</f>
        <v/>
      </c>
      <c r="G65" s="22">
        <f>COUNTIF(Checking!$H$5:$H$991,B65)</f>
        <v/>
      </c>
    </row>
    <row r="66">
      <c r="A66" s="20" t="inlineStr">
        <is>
          <t>Debt</t>
        </is>
      </c>
      <c r="B66" s="20" t="inlineStr">
        <is>
          <t>CC - FPB</t>
        </is>
      </c>
      <c r="C66" s="21">
        <f>SUMIF(Checking!$H$5:$H$991,B66,Checking!$D$5:$D$991)</f>
        <v/>
      </c>
      <c r="D66" s="21">
        <f>SUMIF(Savings!$H$5:$H$304,B66,Savings!$D$5:$D$304)</f>
        <v/>
      </c>
      <c r="E66" s="21">
        <f>SUMIF(PayPal!$H$5:$H$304,B66,PayPal!$D$5:$D$304)</f>
        <v/>
      </c>
      <c r="F66" s="21">
        <f>C66+D66+E66</f>
        <v/>
      </c>
      <c r="G66" s="22">
        <f>COUNTIF(Checking!$H$5:$H$991,B66)</f>
        <v/>
      </c>
    </row>
    <row r="67">
      <c r="A67" s="20" t="inlineStr">
        <is>
          <t>Debt</t>
        </is>
      </c>
      <c r="B67" s="20" t="inlineStr">
        <is>
          <t>Auto Loan - Honda</t>
        </is>
      </c>
      <c r="C67" s="21">
        <f>SUMIF(Checking!$H$5:$H$991,B67,Checking!$D$5:$D$991)</f>
        <v/>
      </c>
      <c r="D67" s="21">
        <f>SUMIF(Savings!$H$5:$H$304,B67,Savings!$D$5:$D$304)</f>
        <v/>
      </c>
      <c r="E67" s="21">
        <f>SUMIF(PayPal!$H$5:$H$304,B67,PayPal!$D$5:$D$304)</f>
        <v/>
      </c>
      <c r="F67" s="21">
        <f>C67+D67+E67</f>
        <v/>
      </c>
      <c r="G67" s="22">
        <f>COUNTIF(Checking!$H$5:$H$991,B67)</f>
        <v/>
      </c>
    </row>
    <row r="68">
      <c r="A68" s="20" t="inlineStr">
        <is>
          <t>Debt</t>
        </is>
      </c>
      <c r="B68" s="20" t="inlineStr">
        <is>
          <t>CC - Ollo</t>
        </is>
      </c>
      <c r="C68" s="21">
        <f>SUMIF(Checking!$H$5:$H$991,B68,Checking!$D$5:$D$991)</f>
        <v/>
      </c>
      <c r="D68" s="21">
        <f>SUMIF(Savings!$H$5:$H$304,B68,Savings!$D$5:$D$304)</f>
        <v/>
      </c>
      <c r="E68" s="21">
        <f>SUMIF(PayPal!$H$5:$H$304,B68,PayPal!$D$5:$D$304)</f>
        <v/>
      </c>
      <c r="F68" s="21">
        <f>C68+D68+E68</f>
        <v/>
      </c>
      <c r="G68" s="22">
        <f>COUNTIF(Checking!$H$5:$H$991,B68)</f>
        <v/>
      </c>
    </row>
    <row r="69">
      <c r="A69" s="20" t="inlineStr">
        <is>
          <t>Debt</t>
        </is>
      </c>
      <c r="B69" s="20" t="inlineStr">
        <is>
          <t>CC - Aspire</t>
        </is>
      </c>
      <c r="C69" s="21">
        <f>SUMIF(Checking!$H$5:$H$991,B69,Checking!$D$5:$D$991)</f>
        <v/>
      </c>
      <c r="D69" s="21">
        <f>SUMIF(Savings!$H$5:$H$304,B69,Savings!$D$5:$D$304)</f>
        <v/>
      </c>
      <c r="E69" s="21">
        <f>SUMIF(PayPal!$H$5:$H$304,B69,PayPal!$D$5:$D$304)</f>
        <v/>
      </c>
      <c r="F69" s="21">
        <f>C69+D69+E69</f>
        <v/>
      </c>
      <c r="G69" s="22">
        <f>COUNTIF(Checking!$H$5:$H$991,B69)</f>
        <v/>
      </c>
    </row>
    <row r="70">
      <c r="A70" s="20" t="inlineStr">
        <is>
          <t>Debt</t>
        </is>
      </c>
      <c r="B70" s="20" t="inlineStr">
        <is>
          <t>paypal - Alipay</t>
        </is>
      </c>
      <c r="C70" s="21">
        <f>SUMIF(Checking!$H$5:$H$991,B70,Checking!$D$5:$D$991)</f>
        <v/>
      </c>
      <c r="D70" s="21">
        <f>SUMIF(Savings!$H$5:$H$304,B70,Savings!$D$5:$D$304)</f>
        <v/>
      </c>
      <c r="E70" s="21">
        <f>SUMIF(PayPal!$H$5:$H$304,B70,PayPal!$D$5:$D$304)</f>
        <v/>
      </c>
      <c r="F70" s="21">
        <f>C70+D70+E70</f>
        <v/>
      </c>
      <c r="G70" s="22">
        <f>COUNTIF(Checking!$H$5:$H$991,B70)</f>
        <v/>
      </c>
    </row>
    <row r="71">
      <c r="A71" s="20" t="inlineStr">
        <is>
          <t>Debt</t>
        </is>
      </c>
      <c r="B71" s="20" t="inlineStr">
        <is>
          <t>paypal - pay in 4 Golden Nugget</t>
        </is>
      </c>
      <c r="C71" s="21">
        <f>SUMIF(Checking!$H$5:$H$991,B71,Checking!$D$5:$D$991)</f>
        <v/>
      </c>
      <c r="D71" s="21">
        <f>SUMIF(Savings!$H$5:$H$304,B71,Savings!$D$5:$D$304)</f>
        <v/>
      </c>
      <c r="E71" s="21">
        <f>SUMIF(PayPal!$H$5:$H$304,B71,PayPal!$D$5:$D$304)</f>
        <v/>
      </c>
      <c r="F71" s="21">
        <f>C71+D71+E71</f>
        <v/>
      </c>
      <c r="G71" s="22">
        <f>COUNTIF(Checking!$H$5:$H$991,B71)</f>
        <v/>
      </c>
    </row>
    <row r="72">
      <c r="A72" s="20" t="inlineStr">
        <is>
          <t>Debt</t>
        </is>
      </c>
      <c r="B72" s="20" t="inlineStr">
        <is>
          <t>CC - Credit 1</t>
        </is>
      </c>
      <c r="C72" s="21">
        <f>SUMIF(Checking!$H$5:$H$991,B72,Checking!$D$5:$D$991)</f>
        <v/>
      </c>
      <c r="D72" s="21">
        <f>SUMIF(Savings!$H$5:$H$304,B72,Savings!$D$5:$D$304)</f>
        <v/>
      </c>
      <c r="E72" s="21">
        <f>SUMIF(PayPal!$H$5:$H$304,B72,PayPal!$D$5:$D$304)</f>
        <v/>
      </c>
      <c r="F72" s="21">
        <f>C72+D72+E72</f>
        <v/>
      </c>
      <c r="G72" s="22">
        <f>COUNTIF(Checking!$H$5:$H$991,B72)</f>
        <v/>
      </c>
    </row>
    <row r="73">
      <c r="A73" s="20" t="inlineStr">
        <is>
          <t>Debt</t>
        </is>
      </c>
      <c r="B73" s="20" t="inlineStr">
        <is>
          <t>Klarna</t>
        </is>
      </c>
      <c r="C73" s="21">
        <f>SUMIF(Checking!$H$5:$H$991,B73,Checking!$D$5:$D$991)</f>
        <v/>
      </c>
      <c r="D73" s="21">
        <f>SUMIF(Savings!$H$5:$H$304,B73,Savings!$D$5:$D$304)</f>
        <v/>
      </c>
      <c r="E73" s="21">
        <f>SUMIF(PayPal!$H$5:$H$304,B73,PayPal!$D$5:$D$304)</f>
        <v/>
      </c>
      <c r="F73" s="21">
        <f>C73+D73+E73</f>
        <v/>
      </c>
      <c r="G73" s="22">
        <f>COUNTIF(Checking!$H$5:$H$991,B73)</f>
        <v/>
      </c>
    </row>
    <row r="74">
      <c r="A74" s="20" t="inlineStr">
        <is>
          <t>Debt</t>
        </is>
      </c>
      <c r="B74" s="20" t="inlineStr">
        <is>
          <t>CC - Frontier card</t>
        </is>
      </c>
      <c r="C74" s="21">
        <f>SUMIF(Checking!$H$5:$H$991,B74,Checking!$D$5:$D$991)</f>
        <v/>
      </c>
      <c r="D74" s="21">
        <f>SUMIF(Savings!$H$5:$H$304,B74,Savings!$D$5:$D$304)</f>
        <v/>
      </c>
      <c r="E74" s="21">
        <f>SUMIF(PayPal!$H$5:$H$304,B74,PayPal!$D$5:$D$304)</f>
        <v/>
      </c>
      <c r="F74" s="21">
        <f>C74+D74+E74</f>
        <v/>
      </c>
      <c r="G74" s="22">
        <f>COUNTIF(Checking!$H$5:$H$991,B74)</f>
        <v/>
      </c>
    </row>
    <row r="75">
      <c r="A75" s="20" t="inlineStr">
        <is>
          <t>Debt</t>
        </is>
      </c>
      <c r="B75" s="20" t="inlineStr">
        <is>
          <t>CC - Whole foods</t>
        </is>
      </c>
      <c r="C75" s="21">
        <f>SUMIF(Checking!$H$5:$H$991,B75,Checking!$D$5:$D$991)</f>
        <v/>
      </c>
      <c r="D75" s="21">
        <f>SUMIF(Savings!$H$5:$H$304,B75,Savings!$D$5:$D$304)</f>
        <v/>
      </c>
      <c r="E75" s="21">
        <f>SUMIF(PayPal!$H$5:$H$304,B75,PayPal!$D$5:$D$304)</f>
        <v/>
      </c>
      <c r="F75" s="21">
        <f>C75+D75+E75</f>
        <v/>
      </c>
      <c r="G75" s="22">
        <f>COUNTIF(Checking!$H$5:$H$991,B75)</f>
        <v/>
      </c>
    </row>
    <row r="76">
      <c r="A76" s="20" t="inlineStr">
        <is>
          <t>Debt</t>
        </is>
      </c>
      <c r="B76" s="20" t="inlineStr">
        <is>
          <t>Afterpay</t>
        </is>
      </c>
      <c r="C76" s="21">
        <f>SUMIF(Checking!$H$5:$H$991,B76,Checking!$D$5:$D$991)</f>
        <v/>
      </c>
      <c r="D76" s="21">
        <f>SUMIF(Savings!$H$5:$H$304,B76,Savings!$D$5:$D$304)</f>
        <v/>
      </c>
      <c r="E76" s="21">
        <f>SUMIF(PayPal!$H$5:$H$304,B76,PayPal!$D$5:$D$304)</f>
        <v/>
      </c>
      <c r="F76" s="21">
        <f>C76+D76+E76</f>
        <v/>
      </c>
      <c r="G76" s="22">
        <f>COUNTIF(Checking!$H$5:$H$991,B76)</f>
        <v/>
      </c>
    </row>
    <row r="77">
      <c r="A77" s="20" t="inlineStr">
        <is>
          <t>Debt</t>
        </is>
      </c>
      <c r="B77" s="20" t="inlineStr">
        <is>
          <t>CC - One Pay</t>
        </is>
      </c>
      <c r="C77" s="21">
        <f>SUMIF(Checking!$H$5:$H$991,B77,Checking!$D$5:$D$991)</f>
        <v/>
      </c>
      <c r="D77" s="21">
        <f>SUMIF(Savings!$H$5:$H$304,B77,Savings!$D$5:$D$304)</f>
        <v/>
      </c>
      <c r="E77" s="21">
        <f>SUMIF(PayPal!$H$5:$H$304,B77,PayPal!$D$5:$D$304)</f>
        <v/>
      </c>
      <c r="F77" s="21">
        <f>C77+D77+E77</f>
        <v/>
      </c>
      <c r="G77" s="22">
        <f>COUNTIF(Checking!$H$5:$H$991,B77)</f>
        <v/>
      </c>
    </row>
    <row r="78">
      <c r="A78" s="20" t="inlineStr">
        <is>
          <t>Debt</t>
        </is>
      </c>
      <c r="B78" s="20" t="inlineStr">
        <is>
          <t>CC - Citibank</t>
        </is>
      </c>
      <c r="C78" s="21">
        <f>SUMIF(Checking!$H$5:$H$991,B78,Checking!$D$5:$D$991)</f>
        <v/>
      </c>
      <c r="D78" s="21">
        <f>SUMIF(Savings!$H$5:$H$304,B78,Savings!$D$5:$D$304)</f>
        <v/>
      </c>
      <c r="E78" s="21">
        <f>SUMIF(PayPal!$H$5:$H$304,B78,PayPal!$D$5:$D$304)</f>
        <v/>
      </c>
      <c r="F78" s="21">
        <f>C78+D78+E78</f>
        <v/>
      </c>
      <c r="G78" s="22">
        <f>COUNTIF(Checking!$H$5:$H$991,B78)</f>
        <v/>
      </c>
    </row>
    <row r="79">
      <c r="A79" s="20" t="inlineStr">
        <is>
          <t>Debt</t>
        </is>
      </c>
      <c r="B79" s="20" t="inlineStr">
        <is>
          <t>CC - Capital 1</t>
        </is>
      </c>
      <c r="C79" s="21">
        <f>SUMIF(Checking!$H$5:$H$991,B79,Checking!$D$5:$D$991)</f>
        <v/>
      </c>
      <c r="D79" s="21">
        <f>SUMIF(Savings!$H$5:$H$304,B79,Savings!$D$5:$D$304)</f>
        <v/>
      </c>
      <c r="E79" s="21">
        <f>SUMIF(PayPal!$H$5:$H$304,B79,PayPal!$D$5:$D$304)</f>
        <v/>
      </c>
      <c r="F79" s="21">
        <f>C79+D79+E79</f>
        <v/>
      </c>
      <c r="G79" s="22">
        <f>COUNTIF(Checking!$H$5:$H$991,B79)</f>
        <v/>
      </c>
    </row>
    <row r="80">
      <c r="A80" s="20" t="inlineStr">
        <is>
          <t>Debt</t>
        </is>
      </c>
      <c r="B80" s="20" t="inlineStr">
        <is>
          <t>CC - paypal</t>
        </is>
      </c>
      <c r="C80" s="21">
        <f>SUMIF(Checking!$H$5:$H$991,B80,Checking!$D$5:$D$991)</f>
        <v/>
      </c>
      <c r="D80" s="21">
        <f>SUMIF(Savings!$H$5:$H$304,B80,Savings!$D$5:$D$304)</f>
        <v/>
      </c>
      <c r="E80" s="21">
        <f>SUMIF(PayPal!$H$5:$H$304,B80,PayPal!$D$5:$D$304)</f>
        <v/>
      </c>
      <c r="F80" s="21">
        <f>C80+D80+E80</f>
        <v/>
      </c>
      <c r="G80" s="22">
        <f>COUNTIF(Checking!$H$5:$H$991,B80)</f>
        <v/>
      </c>
    </row>
    <row r="81">
      <c r="A81" s="20" t="inlineStr">
        <is>
          <t>Debt</t>
        </is>
      </c>
      <c r="B81" s="20" t="inlineStr">
        <is>
          <t>CC - cashback MC</t>
        </is>
      </c>
      <c r="C81" s="21">
        <f>SUMIF(Checking!$H$5:$H$991,B81,Checking!$D$5:$D$991)</f>
        <v/>
      </c>
      <c r="D81" s="21">
        <f>SUMIF(Savings!$H$5:$H$304,B81,Savings!$D$5:$D$304)</f>
        <v/>
      </c>
      <c r="E81" s="21">
        <f>SUMIF(PayPal!$H$5:$H$304,B81,PayPal!$D$5:$D$304)</f>
        <v/>
      </c>
      <c r="F81" s="21">
        <f>C81+D81+E81</f>
        <v/>
      </c>
      <c r="G81" s="22">
        <f>COUNTIF(Checking!$H$5:$H$991,B81)</f>
        <v/>
      </c>
    </row>
    <row r="82">
      <c r="A82" s="20" t="inlineStr">
        <is>
          <t>Debt</t>
        </is>
      </c>
      <c r="B82" s="20" t="inlineStr">
        <is>
          <t>Paypal pay in 4</t>
        </is>
      </c>
      <c r="C82" s="21">
        <f>SUMIF(Checking!$H$5:$H$991,B82,Checking!$D$5:$D$991)</f>
        <v/>
      </c>
      <c r="D82" s="21">
        <f>SUMIF(Savings!$H$5:$H$304,B82,Savings!$D$5:$D$304)</f>
        <v/>
      </c>
      <c r="E82" s="21">
        <f>SUMIF(PayPal!$H$5:$H$304,B82,PayPal!$D$5:$D$304)</f>
        <v/>
      </c>
      <c r="F82" s="21">
        <f>C82+D82+E82</f>
        <v/>
      </c>
      <c r="G82" s="22">
        <f>COUNTIF(Checking!$H$5:$H$991,B82)</f>
        <v/>
      </c>
    </row>
    <row r="83">
      <c r="A83" s="20" t="inlineStr">
        <is>
          <t>Debt</t>
        </is>
      </c>
      <c r="B83" s="20" t="inlineStr">
        <is>
          <t>CC - Mission Lane</t>
        </is>
      </c>
      <c r="C83" s="21">
        <f>SUMIF(Checking!$H$5:$H$991,B83,Checking!$D$5:$D$991)</f>
        <v/>
      </c>
      <c r="D83" s="21">
        <f>SUMIF(Savings!$H$5:$H$304,B83,Savings!$D$5:$D$304)</f>
        <v/>
      </c>
      <c r="E83" s="21">
        <f>SUMIF(PayPal!$H$5:$H$304,B83,PayPal!$D$5:$D$304)</f>
        <v/>
      </c>
      <c r="F83" s="21">
        <f>C83+D83+E83</f>
        <v/>
      </c>
      <c r="G83" s="22">
        <f>COUNTIF(Checking!$H$5:$H$991,B83)</f>
        <v/>
      </c>
    </row>
    <row r="84">
      <c r="A84" s="20" t="inlineStr">
        <is>
          <t>Debt</t>
        </is>
      </c>
      <c r="B84" s="20" t="inlineStr">
        <is>
          <t>CC - Citizen bank</t>
        </is>
      </c>
      <c r="C84" s="21">
        <f>SUMIF(Checking!$H$5:$H$991,B84,Checking!$D$5:$D$991)</f>
        <v/>
      </c>
      <c r="D84" s="21">
        <f>SUMIF(Savings!$H$5:$H$304,B84,Savings!$D$5:$D$304)</f>
        <v/>
      </c>
      <c r="E84" s="21">
        <f>SUMIF(PayPal!$H$5:$H$304,B84,PayPal!$D$5:$D$304)</f>
        <v/>
      </c>
      <c r="F84" s="21">
        <f>C84+D84+E84</f>
        <v/>
      </c>
      <c r="G84" s="22">
        <f>COUNTIF(Checking!$H$5:$H$991,B84)</f>
        <v/>
      </c>
    </row>
    <row r="85">
      <c r="A85" s="23" t="inlineStr">
        <is>
          <t>Income</t>
        </is>
      </c>
      <c r="B85" s="23" t="inlineStr">
        <is>
          <t>Key Salary</t>
        </is>
      </c>
      <c r="C85" s="24">
        <f>SUMIF(Checking!$H$5:$H$991,B85,Checking!$D$5:$D$991)</f>
        <v/>
      </c>
      <c r="D85" s="24">
        <f>SUMIF(Savings!$H$5:$H$304,B85,Savings!$D$5:$D$304)</f>
        <v/>
      </c>
      <c r="E85" s="24">
        <f>SUMIF(PayPal!$H$5:$H$304,B85,PayPal!$D$5:$D$304)</f>
        <v/>
      </c>
      <c r="F85" s="24">
        <f>C85+D85+E85</f>
        <v/>
      </c>
      <c r="G85" s="25">
        <f>COUNTIF(Checking!$H$5:$H$991,B85)</f>
        <v/>
      </c>
    </row>
    <row r="86">
      <c r="A86" s="23" t="inlineStr">
        <is>
          <t>Income</t>
        </is>
      </c>
      <c r="B86" s="23" t="inlineStr">
        <is>
          <t>Chris - Pension</t>
        </is>
      </c>
      <c r="C86" s="24">
        <f>SUMIF(Checking!$H$5:$H$991,B86,Checking!$D$5:$D$991)</f>
        <v/>
      </c>
      <c r="D86" s="24">
        <f>SUMIF(Savings!$H$5:$H$304,B86,Savings!$D$5:$D$304)</f>
        <v/>
      </c>
      <c r="E86" s="24">
        <f>SUMIF(PayPal!$H$5:$H$304,B86,PayPal!$D$5:$D$304)</f>
        <v/>
      </c>
      <c r="F86" s="24">
        <f>C86+D86+E86</f>
        <v/>
      </c>
      <c r="G86" s="25">
        <f>COUNTIF(Checking!$H$5:$H$991,B86)</f>
        <v/>
      </c>
    </row>
    <row r="87">
      <c r="A87" s="23" t="inlineStr">
        <is>
          <t>Income</t>
        </is>
      </c>
      <c r="B87" s="23" t="inlineStr">
        <is>
          <t>Kristin - COO Income</t>
        </is>
      </c>
      <c r="C87" s="24">
        <f>SUMIF(Checking!$H$5:$H$991,B87,Checking!$D$5:$D$991)</f>
        <v/>
      </c>
      <c r="D87" s="24">
        <f>SUMIF(Savings!$H$5:$H$304,B87,Savings!$D$5:$D$304)</f>
        <v/>
      </c>
      <c r="E87" s="24">
        <f>SUMIF(PayPal!$H$5:$H$304,B87,PayPal!$D$5:$D$304)</f>
        <v/>
      </c>
      <c r="F87" s="24">
        <f>C87+D87+E87</f>
        <v/>
      </c>
      <c r="G87" s="25">
        <f>COUNTIF(Checking!$H$5:$H$991,B87)</f>
        <v/>
      </c>
    </row>
    <row r="88">
      <c r="A88" s="23" t="inlineStr">
        <is>
          <t>Income</t>
        </is>
      </c>
      <c r="B88" s="23" t="inlineStr">
        <is>
          <t>Others - Income</t>
        </is>
      </c>
      <c r="C88" s="24">
        <f>SUMIF(Checking!$H$5:$H$991,B88,Checking!$D$5:$D$991)</f>
        <v/>
      </c>
      <c r="D88" s="24">
        <f>SUMIF(Savings!$H$5:$H$304,B88,Savings!$D$5:$D$304)</f>
        <v/>
      </c>
      <c r="E88" s="24">
        <f>SUMIF(PayPal!$H$5:$H$304,B88,PayPal!$D$5:$D$304)</f>
        <v/>
      </c>
      <c r="F88" s="24">
        <f>C88+D88+E88</f>
        <v/>
      </c>
      <c r="G88" s="25">
        <f>COUNTIF(Checking!$H$5:$H$991,B88)</f>
        <v/>
      </c>
    </row>
    <row r="89">
      <c r="A89" s="26" t="inlineStr">
        <is>
          <t>Transfer</t>
        </is>
      </c>
      <c r="B89" s="26" t="inlineStr">
        <is>
          <t>Transfer - Checking to Savings</t>
        </is>
      </c>
      <c r="C89" s="27">
        <f>SUMIF(Checking!$H$5:$H$991,B89,Checking!$D$5:$D$991)</f>
        <v/>
      </c>
      <c r="D89" s="27">
        <f>SUMIF(Savings!$H$5:$H$304,B89,Savings!$D$5:$D$304)</f>
        <v/>
      </c>
      <c r="E89" s="27">
        <f>SUMIF(PayPal!$H$5:$H$304,B89,PayPal!$D$5:$D$304)</f>
        <v/>
      </c>
      <c r="F89" s="27">
        <f>C89+D89+E89</f>
        <v/>
      </c>
      <c r="G89" s="28">
        <f>COUNTIF(Checking!$H$5:$H$991,B89)</f>
        <v/>
      </c>
    </row>
    <row r="90">
      <c r="A90" s="26" t="inlineStr">
        <is>
          <t>Transfer</t>
        </is>
      </c>
      <c r="B90" s="26" t="inlineStr">
        <is>
          <t>Transfer - Savings to Checking</t>
        </is>
      </c>
      <c r="C90" s="27">
        <f>SUMIF(Checking!$H$5:$H$991,B90,Checking!$D$5:$D$991)</f>
        <v/>
      </c>
      <c r="D90" s="27">
        <f>SUMIF(Savings!$H$5:$H$304,B90,Savings!$D$5:$D$304)</f>
        <v/>
      </c>
      <c r="E90" s="27">
        <f>SUMIF(PayPal!$H$5:$H$304,B90,PayPal!$D$5:$D$304)</f>
        <v/>
      </c>
      <c r="F90" s="27">
        <f>C90+D90+E90</f>
        <v/>
      </c>
      <c r="G90" s="28">
        <f>COUNTIF(Checking!$H$5:$H$991,B90)</f>
        <v/>
      </c>
    </row>
    <row r="91">
      <c r="A91" s="26" t="inlineStr">
        <is>
          <t>Transfer</t>
        </is>
      </c>
      <c r="B91" s="26" t="inlineStr">
        <is>
          <t>Transfer - Checking to PayPal</t>
        </is>
      </c>
      <c r="C91" s="27">
        <f>SUMIF(Checking!$H$5:$H$991,B91,Checking!$D$5:$D$991)</f>
        <v/>
      </c>
      <c r="D91" s="27">
        <f>SUMIF(Savings!$H$5:$H$304,B91,Savings!$D$5:$D$304)</f>
        <v/>
      </c>
      <c r="E91" s="27">
        <f>SUMIF(PayPal!$H$5:$H$304,B91,PayPal!$D$5:$D$304)</f>
        <v/>
      </c>
      <c r="F91" s="27">
        <f>C91+D91+E91</f>
        <v/>
      </c>
      <c r="G91" s="28">
        <f>COUNTIF(Checking!$H$5:$H$991,B91)</f>
        <v/>
      </c>
    </row>
    <row r="92">
      <c r="A92" s="26" t="inlineStr">
        <is>
          <t>Transfer</t>
        </is>
      </c>
      <c r="B92" s="26" t="inlineStr">
        <is>
          <t>Transfer - PayPal to Checking</t>
        </is>
      </c>
      <c r="C92" s="27">
        <f>SUMIF(Checking!$H$5:$H$991,B92,Checking!$D$5:$D$991)</f>
        <v/>
      </c>
      <c r="D92" s="27">
        <f>SUMIF(Savings!$H$5:$H$304,B92,Savings!$D$5:$D$304)</f>
        <v/>
      </c>
      <c r="E92" s="27">
        <f>SUMIF(PayPal!$H$5:$H$304,B92,PayPal!$D$5:$D$304)</f>
        <v/>
      </c>
      <c r="F92" s="27">
        <f>C92+D92+E92</f>
        <v/>
      </c>
      <c r="G92" s="28">
        <f>COUNTIF(Checking!$H$5:$H$991,B92)</f>
        <v/>
      </c>
    </row>
    <row r="93">
      <c r="A93" s="26" t="inlineStr">
        <is>
          <t>Transfer</t>
        </is>
      </c>
      <c r="B93" s="26" t="inlineStr">
        <is>
          <t>Transfer - Checking to SoFi/Other</t>
        </is>
      </c>
      <c r="C93" s="27">
        <f>SUMIF(Checking!$H$5:$H$991,B93,Checking!$D$5:$D$991)</f>
        <v/>
      </c>
      <c r="D93" s="27">
        <f>SUMIF(Savings!$H$5:$H$304,B93,Savings!$D$5:$D$304)</f>
        <v/>
      </c>
      <c r="E93" s="27">
        <f>SUMIF(PayPal!$H$5:$H$304,B93,PayPal!$D$5:$D$304)</f>
        <v/>
      </c>
      <c r="F93" s="27">
        <f>C93+D93+E93</f>
        <v/>
      </c>
      <c r="G93" s="28">
        <f>COUNTIF(Checking!$H$5:$H$991,B93)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12" customWidth="1" min="4" max="4"/>
    <col width="16" customWidth="1" min="5" max="5"/>
    <col width="13" customWidth="1" min="6" max="6"/>
    <col width="24" customWidth="1" min="7" max="7"/>
    <col width="14" customWidth="1" min="8" max="8"/>
    <col width="11" customWidth="1" min="9" max="9"/>
    <col width="55" customWidth="1" min="10" max="10"/>
  </cols>
  <sheetData>
    <row r="1">
      <c r="A1" s="1" t="inlineStr">
        <is>
          <t>Checking Transactions</t>
        </is>
      </c>
    </row>
    <row r="2">
      <c r="A2" s="2" t="inlineStr">
        <is>
          <t>Imported from your Chase CSV. Account ...0861, 05/01/2026 - 08/31/2026.</t>
        </is>
      </c>
    </row>
    <row r="4">
      <c r="A4" s="4" t="inlineStr">
        <is>
          <t>Account</t>
        </is>
      </c>
      <c r="B4" s="4" t="inlineStr">
        <is>
          <t>Date</t>
        </is>
      </c>
      <c r="C4" s="4" t="inlineStr">
        <is>
          <t>Description</t>
        </is>
      </c>
      <c r="D4" s="4" t="inlineStr">
        <is>
          <t>Amount</t>
        </is>
      </c>
      <c r="E4" s="4" t="inlineStr">
        <is>
          <t>Type</t>
        </is>
      </c>
      <c r="F4" s="4" t="inlineStr">
        <is>
          <t>Source Balance</t>
        </is>
      </c>
      <c r="G4" s="4" t="inlineStr">
        <is>
          <t>Category</t>
        </is>
      </c>
      <c r="H4" s="4" t="inlineStr">
        <is>
          <t>Group</t>
        </is>
      </c>
      <c r="I4" s="4" t="inlineStr">
        <is>
          <t>Confidence</t>
        </is>
      </c>
      <c r="J4" s="4" t="inlineStr">
        <is>
          <t>Note</t>
        </is>
      </c>
    </row>
    <row r="5">
      <c r="A5" s="9" t="inlineStr">
        <is>
          <t>Checking ...0861</t>
        </is>
      </c>
      <c r="B5" s="29" t="n">
        <v>46265</v>
      </c>
      <c r="C5" s="9" t="inlineStr">
        <is>
          <t>CHECK 287</t>
        </is>
      </c>
      <c r="D5" s="10" t="n">
        <v>-500</v>
      </c>
      <c r="E5" s="9" t="inlineStr">
        <is>
          <t>CHECK_PAID</t>
        </is>
      </c>
      <c r="F5" s="10" t="n">
        <v>643.99</v>
      </c>
      <c r="G5" s="9" t="inlineStr">
        <is>
          <t>Others</t>
        </is>
      </c>
      <c r="H5">
        <f>IFERROR(INDEX(Categories!$A$5:$A$93,MATCH(G5,Categories!$B$5:$B$93,0)),"")</f>
        <v/>
      </c>
      <c r="I5" s="9" t="inlineStr">
        <is>
          <t>R</t>
        </is>
      </c>
      <c r="J5" s="9" t="inlineStr">
        <is>
          <t>Paper check - payee not shown on the statement; please tell me who checks were written to</t>
        </is>
      </c>
    </row>
    <row r="6">
      <c r="A6" s="9" t="inlineStr">
        <is>
          <t>Checking ...0861</t>
        </is>
      </c>
      <c r="B6" s="29" t="n">
        <v>46265</v>
      </c>
      <c r="C6" s="9" t="inlineStr">
        <is>
          <t>TARGET T-0680 HENDERSON NV                   08/31</t>
        </is>
      </c>
      <c r="D6" s="10" t="n">
        <v>-31.46</v>
      </c>
      <c r="E6" s="9" t="inlineStr">
        <is>
          <t>DEBIT_CARD</t>
        </is>
      </c>
      <c r="F6" s="10" t="n">
        <v>1143.99</v>
      </c>
      <c r="G6" s="9" t="inlineStr">
        <is>
          <t>Shop - Others</t>
        </is>
      </c>
      <c r="H6">
        <f>IFERROR(INDEX(Categories!$A$5:$A$93,MATCH(G6,Categories!$B$5:$B$93,0)),"")</f>
        <v/>
      </c>
      <c r="I6" s="9" t="inlineStr">
        <is>
          <t>D</t>
        </is>
      </c>
      <c r="J6" s="9" t="inlineStr"/>
    </row>
    <row r="7">
      <c r="A7" s="9" t="inlineStr">
        <is>
          <t>Checking ...0861</t>
        </is>
      </c>
      <c r="B7" s="29" t="n">
        <v>46265</v>
      </c>
      <c r="C7" s="9" t="inlineStr">
        <is>
          <t>TARGET T-0680 HENDERSON NV                   08/31</t>
        </is>
      </c>
      <c r="D7" s="10" t="n">
        <v>-37.59</v>
      </c>
      <c r="E7" s="9" t="inlineStr">
        <is>
          <t>DEBIT_CARD</t>
        </is>
      </c>
      <c r="F7" s="10" t="n">
        <v>1175.45</v>
      </c>
      <c r="G7" s="9" t="inlineStr">
        <is>
          <t>Shop - Others</t>
        </is>
      </c>
      <c r="H7">
        <f>IFERROR(INDEX(Categories!$A$5:$A$93,MATCH(G7,Categories!$B$5:$B$93,0)),"")</f>
        <v/>
      </c>
      <c r="I7" s="9" t="inlineStr">
        <is>
          <t>D</t>
        </is>
      </c>
      <c r="J7" s="9" t="inlineStr"/>
    </row>
    <row r="8">
      <c r="A8" s="9" t="inlineStr">
        <is>
          <t>Checking ...0861</t>
        </is>
      </c>
      <c r="B8" s="29" t="n">
        <v>46265</v>
      </c>
      <c r="C8" s="9" t="inlineStr">
        <is>
          <t>Taptap Send New York NY                      08/31</t>
        </is>
      </c>
      <c r="D8" s="10" t="n">
        <v>-330</v>
      </c>
      <c r="E8" s="9" t="inlineStr">
        <is>
          <t>DEBIT_CARD</t>
        </is>
      </c>
      <c r="F8" s="10" t="n">
        <v>1213.04</v>
      </c>
      <c r="G8" s="9" t="inlineStr">
        <is>
          <t>Remittance - others</t>
        </is>
      </c>
      <c r="H8">
        <f>IFERROR(INDEX(Categories!$A$5:$A$93,MATCH(G8,Categories!$B$5:$B$93,0)),"")</f>
        <v/>
      </c>
      <c r="I8" s="9" t="inlineStr">
        <is>
          <t>R</t>
        </is>
      </c>
      <c r="J8" s="9" t="inlineStr">
        <is>
          <t>Remittance app transfer - recipient not shown; please tell me if this is Aron, Aron's tuition, or someone else</t>
        </is>
      </c>
    </row>
    <row r="9">
      <c r="A9" s="9" t="inlineStr">
        <is>
          <t>Checking ...0861</t>
        </is>
      </c>
      <c r="B9" s="29" t="n">
        <v>46265</v>
      </c>
      <c r="C9" s="9" t="inlineStr">
        <is>
          <t>AMAZON MARKETPLA INTERNET   043000094110624 WEB ID: 9049016352</t>
        </is>
      </c>
      <c r="D9" s="10" t="n">
        <v>-7.58</v>
      </c>
      <c r="E9" s="9" t="inlineStr">
        <is>
          <t>ACH_DEBIT</t>
        </is>
      </c>
      <c r="F9" s="10" t="n">
        <v>1543.04</v>
      </c>
      <c r="G9" s="9" t="inlineStr">
        <is>
          <t>Shop - Amazon</t>
        </is>
      </c>
      <c r="H9">
        <f>IFERROR(INDEX(Categories!$A$5:$A$93,MATCH(G9,Categories!$B$5:$B$93,0)),"")</f>
        <v/>
      </c>
      <c r="I9" s="9" t="inlineStr">
        <is>
          <t>H</t>
        </is>
      </c>
      <c r="J9" s="9" t="inlineStr"/>
    </row>
    <row r="10">
      <c r="A10" s="9" t="inlineStr">
        <is>
          <t>Checking ...0861</t>
        </is>
      </c>
      <c r="B10" s="29" t="n">
        <v>46265</v>
      </c>
      <c r="C10" s="9" t="inlineStr">
        <is>
          <t>AMAZON MARKETPLA INTERNET   043000094103452 WEB ID: 9049016352</t>
        </is>
      </c>
      <c r="D10" s="10" t="n">
        <v>-14.36</v>
      </c>
      <c r="E10" s="9" t="inlineStr">
        <is>
          <t>ACH_DEBIT</t>
        </is>
      </c>
      <c r="F10" s="10" t="n">
        <v>1550.62</v>
      </c>
      <c r="G10" s="9" t="inlineStr">
        <is>
          <t>Shop - Amazon</t>
        </is>
      </c>
      <c r="H10">
        <f>IFERROR(INDEX(Categories!$A$5:$A$93,MATCH(G10,Categories!$B$5:$B$93,0)),"")</f>
        <v/>
      </c>
      <c r="I10" s="9" t="inlineStr">
        <is>
          <t>H</t>
        </is>
      </c>
      <c r="J10" s="9" t="inlineStr"/>
    </row>
    <row r="11">
      <c r="A11" s="9" t="inlineStr">
        <is>
          <t>Checking ...0861</t>
        </is>
      </c>
      <c r="B11" s="29" t="n">
        <v>46265</v>
      </c>
      <c r="C11" s="9" t="inlineStr">
        <is>
          <t>AMAZON MARKETPLA INTERNET   043000094057250 WEB ID: 9049016352</t>
        </is>
      </c>
      <c r="D11" s="10" t="n">
        <v>-32.5</v>
      </c>
      <c r="E11" s="9" t="inlineStr">
        <is>
          <t>ACH_DEBIT</t>
        </is>
      </c>
      <c r="F11" s="10" t="n">
        <v>1564.98</v>
      </c>
      <c r="G11" s="9" t="inlineStr">
        <is>
          <t>Shop - Amazon</t>
        </is>
      </c>
      <c r="H11">
        <f>IFERROR(INDEX(Categories!$A$5:$A$93,MATCH(G11,Categories!$B$5:$B$93,0)),"")</f>
        <v/>
      </c>
      <c r="I11" s="9" t="inlineStr">
        <is>
          <t>H</t>
        </is>
      </c>
      <c r="J11" s="9" t="inlineStr"/>
    </row>
    <row r="12">
      <c r="A12" s="9" t="inlineStr">
        <is>
          <t>Checking ...0861</t>
        </is>
      </c>
      <c r="B12" s="29" t="n">
        <v>46265</v>
      </c>
      <c r="C12" s="9" t="inlineStr">
        <is>
          <t>AMAZON MARKETPLA INTERNET   043000094173468 WEB ID: 9049016352</t>
        </is>
      </c>
      <c r="D12" s="10" t="n">
        <v>-34.67</v>
      </c>
      <c r="E12" s="9" t="inlineStr">
        <is>
          <t>ACH_DEBIT</t>
        </is>
      </c>
      <c r="F12" s="10" t="n">
        <v>1597.48</v>
      </c>
      <c r="G12" s="9" t="inlineStr">
        <is>
          <t>Shop - Amazon</t>
        </is>
      </c>
      <c r="H12">
        <f>IFERROR(INDEX(Categories!$A$5:$A$93,MATCH(G12,Categories!$B$5:$B$93,0)),"")</f>
        <v/>
      </c>
      <c r="I12" s="9" t="inlineStr">
        <is>
          <t>H</t>
        </is>
      </c>
      <c r="J12" s="9" t="inlineStr"/>
    </row>
    <row r="13">
      <c r="A13" s="9" t="inlineStr">
        <is>
          <t>Checking ...0861</t>
        </is>
      </c>
      <c r="B13" s="29" t="n">
        <v>46265</v>
      </c>
      <c r="C13" s="9" t="inlineStr">
        <is>
          <t>AMAZON MARKETPLA INTERNET   043000094158962 WEB ID: 9049016352</t>
        </is>
      </c>
      <c r="D13" s="10" t="n">
        <v>-52.71</v>
      </c>
      <c r="E13" s="9" t="inlineStr">
        <is>
          <t>ACH_DEBIT</t>
        </is>
      </c>
      <c r="F13" s="10" t="n">
        <v>1632.15</v>
      </c>
      <c r="G13" s="9" t="inlineStr">
        <is>
          <t>Shop - Amazon</t>
        </is>
      </c>
      <c r="H13">
        <f>IFERROR(INDEX(Categories!$A$5:$A$93,MATCH(G13,Categories!$B$5:$B$93,0)),"")</f>
        <v/>
      </c>
      <c r="I13" s="9" t="inlineStr">
        <is>
          <t>H</t>
        </is>
      </c>
      <c r="J13" s="9" t="inlineStr"/>
    </row>
    <row r="14">
      <c r="A14" s="9" t="inlineStr">
        <is>
          <t>Checking ...0861</t>
        </is>
      </c>
      <c r="B14" s="29" t="n">
        <v>46265</v>
      </c>
      <c r="C14" s="9" t="inlineStr">
        <is>
          <t>AMAZON MARKETPLA INTERNET   043000094138568 WEB ID: 9049016352</t>
        </is>
      </c>
      <c r="D14" s="10" t="n">
        <v>-58.4</v>
      </c>
      <c r="E14" s="9" t="inlineStr">
        <is>
          <t>ACH_DEBIT</t>
        </is>
      </c>
      <c r="F14" s="10" t="n">
        <v>1684.86</v>
      </c>
      <c r="G14" s="9" t="inlineStr">
        <is>
          <t>Shop - Amazon</t>
        </is>
      </c>
      <c r="H14">
        <f>IFERROR(INDEX(Categories!$A$5:$A$93,MATCH(G14,Categories!$B$5:$B$93,0)),"")</f>
        <v/>
      </c>
      <c r="I14" s="9" t="inlineStr">
        <is>
          <t>H</t>
        </is>
      </c>
      <c r="J14" s="9" t="inlineStr"/>
    </row>
    <row r="15">
      <c r="A15" s="9" t="inlineStr">
        <is>
          <t>Checking ...0861</t>
        </is>
      </c>
      <c r="B15" s="29" t="n">
        <v>46265</v>
      </c>
      <c r="C15" s="9" t="inlineStr">
        <is>
          <t>Taptap Send New York NY                      08/31</t>
        </is>
      </c>
      <c r="D15" s="10" t="n">
        <v>-178.57</v>
      </c>
      <c r="E15" s="9" t="inlineStr">
        <is>
          <t>DEBIT_CARD</t>
        </is>
      </c>
      <c r="F15" s="10" t="n">
        <v>1743.26</v>
      </c>
      <c r="G15" s="9" t="inlineStr">
        <is>
          <t>Remittance - others</t>
        </is>
      </c>
      <c r="H15">
        <f>IFERROR(INDEX(Categories!$A$5:$A$93,MATCH(G15,Categories!$B$5:$B$93,0)),"")</f>
        <v/>
      </c>
      <c r="I15" s="9" t="inlineStr">
        <is>
          <t>R</t>
        </is>
      </c>
      <c r="J15" s="9" t="inlineStr">
        <is>
          <t>Remittance app transfer - recipient not shown; please tell me if this is Aron, Aron's tuition, or someone else</t>
        </is>
      </c>
    </row>
    <row r="16">
      <c r="A16" s="9" t="inlineStr">
        <is>
          <t>Checking ...0861</t>
        </is>
      </c>
      <c r="B16" s="29" t="n">
        <v>46265</v>
      </c>
      <c r="C16" s="9" t="inlineStr">
        <is>
          <t>IKEA LAS VEGAS RESTAUR LAS VEGAS NV  419841  08/30</t>
        </is>
      </c>
      <c r="D16" s="10" t="n">
        <v>-45.14</v>
      </c>
      <c r="E16" s="9" t="inlineStr">
        <is>
          <t>DEBIT_CARD</t>
        </is>
      </c>
      <c r="F16" s="10" t="n">
        <v>1921.83</v>
      </c>
      <c r="G16" s="9" t="inlineStr">
        <is>
          <t>Food - Eat Out</t>
        </is>
      </c>
      <c r="H16">
        <f>IFERROR(INDEX(Categories!$A$5:$A$93,MATCH(G16,Categories!$B$5:$B$93,0)),"")</f>
        <v/>
      </c>
      <c r="I16" s="9" t="inlineStr">
        <is>
          <t>D</t>
        </is>
      </c>
      <c r="J16" s="9" t="inlineStr">
        <is>
          <t>Restaurant/fast-food - defaulted to Eat Out; move to Food - Ailynn/Chris/Misc if you know whose order it was</t>
        </is>
      </c>
    </row>
    <row r="17">
      <c r="A17" s="9" t="inlineStr">
        <is>
          <t>Checking ...0861</t>
        </is>
      </c>
      <c r="B17" s="29" t="n">
        <v>46265</v>
      </c>
      <c r="C17" s="9" t="inlineStr">
        <is>
          <t>SQ *BK BAKERY LLC Las Vegas NV               08/30</t>
        </is>
      </c>
      <c r="D17" s="10" t="n">
        <v>-60.04</v>
      </c>
      <c r="E17" s="9" t="inlineStr">
        <is>
          <t>DEBIT_CARD</t>
        </is>
      </c>
      <c r="F17" s="10" t="n">
        <v>1966.97</v>
      </c>
      <c r="G17" s="9" t="inlineStr">
        <is>
          <t>Food - Eat Out</t>
        </is>
      </c>
      <c r="H17">
        <f>IFERROR(INDEX(Categories!$A$5:$A$93,MATCH(G17,Categories!$B$5:$B$93,0)),"")</f>
        <v/>
      </c>
      <c r="I17" s="9" t="inlineStr">
        <is>
          <t>D</t>
        </is>
      </c>
      <c r="J17" s="9" t="inlineStr">
        <is>
          <t>Restaurant/fast-food - defaulted to Eat Out; move to Food - Ailynn/Chris/Misc if you know whose order it was</t>
        </is>
      </c>
    </row>
    <row r="18">
      <c r="A18" s="9" t="inlineStr">
        <is>
          <t>Checking ...0861</t>
        </is>
      </c>
      <c r="B18" s="29" t="n">
        <v>46265</v>
      </c>
      <c r="C18" s="9" t="inlineStr">
        <is>
          <t>GIV*FIRST PRESBY 831-4227811 CA              08/30</t>
        </is>
      </c>
      <c r="D18" s="10" t="n">
        <v>-20</v>
      </c>
      <c r="E18" s="9" t="inlineStr">
        <is>
          <t>DEBIT_CARD</t>
        </is>
      </c>
      <c r="F18" s="10" t="n">
        <v>2027.01</v>
      </c>
      <c r="G18" s="9" t="inlineStr">
        <is>
          <t>Others</t>
        </is>
      </c>
      <c r="H18">
        <f>IFERROR(INDEX(Categories!$A$5:$A$93,MATCH(G18,Categories!$B$5:$B$93,0)),"")</f>
        <v/>
      </c>
      <c r="I18" s="9" t="inlineStr">
        <is>
          <t>H</t>
        </is>
      </c>
      <c r="J18" s="9" t="inlineStr">
        <is>
          <t>Recurring $20 church/charitable giving - no matching category in your list, put under Others</t>
        </is>
      </c>
    </row>
    <row r="19">
      <c r="A19" s="9" t="inlineStr">
        <is>
          <t>Checking ...0861</t>
        </is>
      </c>
      <c r="B19" s="29" t="n">
        <v>46265</v>
      </c>
      <c r="C19" s="9" t="inlineStr">
        <is>
          <t>EXCALIBUR HTL SELFPARK LAS VEGAS NV          08/30</t>
        </is>
      </c>
      <c r="D19" s="10" t="n">
        <v>-25</v>
      </c>
      <c r="E19" s="9" t="inlineStr">
        <is>
          <t>DEBIT_CARD</t>
        </is>
      </c>
      <c r="F19" s="10" t="n">
        <v>2047.01</v>
      </c>
      <c r="G19" s="9" t="inlineStr">
        <is>
          <t>For Car</t>
        </is>
      </c>
      <c r="H19">
        <f>IFERROR(INDEX(Categories!$A$5:$A$93,MATCH(G19,Categories!$B$5:$B$93,0)),"")</f>
        <v/>
      </c>
      <c r="I19" s="9" t="inlineStr">
        <is>
          <t>D</t>
        </is>
      </c>
      <c r="J19" s="9" t="inlineStr">
        <is>
          <t>Parking charge, defaulted to For Car</t>
        </is>
      </c>
    </row>
    <row r="20">
      <c r="A20" s="9" t="inlineStr">
        <is>
          <t>Checking ...0861</t>
        </is>
      </c>
      <c r="B20" s="29" t="n">
        <v>46265</v>
      </c>
      <c r="C20" s="9" t="inlineStr">
        <is>
          <t>PAN ASIAN EXPRESS MGM 702-5970131 NV         08/29</t>
        </is>
      </c>
      <c r="D20" s="10" t="n">
        <v>-117.91</v>
      </c>
      <c r="E20" s="9" t="inlineStr">
        <is>
          <t>DEBIT_CARD</t>
        </is>
      </c>
      <c r="F20" s="10" t="n">
        <v>2072.01</v>
      </c>
      <c r="G20" s="9" t="inlineStr">
        <is>
          <t>Food - Eat Out</t>
        </is>
      </c>
      <c r="H20">
        <f>IFERROR(INDEX(Categories!$A$5:$A$93,MATCH(G20,Categories!$B$5:$B$93,0)),"")</f>
        <v/>
      </c>
      <c r="I20" s="9" t="inlineStr">
        <is>
          <t>D</t>
        </is>
      </c>
      <c r="J20" s="9" t="inlineStr">
        <is>
          <t>Restaurant/fast-food - defaulted to Eat Out; move to Food - Ailynn/Chris/Misc if you know whose order it was</t>
        </is>
      </c>
    </row>
    <row r="21">
      <c r="A21" s="9" t="inlineStr">
        <is>
          <t>Checking ...0861</t>
        </is>
      </c>
      <c r="B21" s="29" t="n">
        <v>46265</v>
      </c>
      <c r="C21" s="9" t="inlineStr">
        <is>
          <t>HERSHEYS CHOCOLATE WORL LAS VEGAS NV         08/29</t>
        </is>
      </c>
      <c r="D21" s="10" t="n">
        <v>-22.43</v>
      </c>
      <c r="E21" s="9" t="inlineStr">
        <is>
          <t>DEBIT_CARD</t>
        </is>
      </c>
      <c r="F21" s="10" t="n">
        <v>2189.92</v>
      </c>
      <c r="G21" s="9" t="inlineStr">
        <is>
          <t>Food - Eat Out</t>
        </is>
      </c>
      <c r="H21">
        <f>IFERROR(INDEX(Categories!$A$5:$A$93,MATCH(G21,Categories!$B$5:$B$93,0)),"")</f>
        <v/>
      </c>
      <c r="I21" s="9" t="inlineStr">
        <is>
          <t>D</t>
        </is>
      </c>
      <c r="J21" s="9" t="inlineStr">
        <is>
          <t>Restaurant/fast-food - defaulted to Eat Out; move to Food - Ailynn/Chris/Misc if you know whose order it was</t>
        </is>
      </c>
    </row>
    <row r="22">
      <c r="A22" s="9" t="inlineStr">
        <is>
          <t>Checking ...0861</t>
        </is>
      </c>
      <c r="B22" s="29" t="n">
        <v>46265</v>
      </c>
      <c r="C22" s="9" t="inlineStr">
        <is>
          <t>NATHANS FAMOUS NYNY 81 702-2332228 NV        08/29</t>
        </is>
      </c>
      <c r="D22" s="10" t="n">
        <v>-20.48</v>
      </c>
      <c r="E22" s="9" t="inlineStr">
        <is>
          <t>DEBIT_CARD</t>
        </is>
      </c>
      <c r="F22" s="10" t="n">
        <v>2212.35</v>
      </c>
      <c r="G22" s="9" t="inlineStr">
        <is>
          <t>Food - Eat Out</t>
        </is>
      </c>
      <c r="H22">
        <f>IFERROR(INDEX(Categories!$A$5:$A$93,MATCH(G22,Categories!$B$5:$B$93,0)),"")</f>
        <v/>
      </c>
      <c r="I22" s="9" t="inlineStr">
        <is>
          <t>D</t>
        </is>
      </c>
      <c r="J22" s="9" t="inlineStr">
        <is>
          <t>Restaurant/fast-food - defaulted to Eat Out; move to Food - Ailynn/Chris/Misc if you know whose order it was</t>
        </is>
      </c>
    </row>
    <row r="23">
      <c r="A23" s="9" t="inlineStr">
        <is>
          <t>Checking ...0861</t>
        </is>
      </c>
      <c r="B23" s="29" t="n">
        <v>46265</v>
      </c>
      <c r="C23" s="9" t="inlineStr">
        <is>
          <t>SQ *JB HOLDINGS LV LL Boulder city NV        08/29</t>
        </is>
      </c>
      <c r="D23" s="10" t="n">
        <v>-16.86</v>
      </c>
      <c r="E23" s="9" t="inlineStr">
        <is>
          <t>DEBIT_CARD</t>
        </is>
      </c>
      <c r="F23" s="10" t="n">
        <v>2232.83</v>
      </c>
      <c r="G23" s="9" t="inlineStr">
        <is>
          <t>Food - Eat Out</t>
        </is>
      </c>
      <c r="H23">
        <f>IFERROR(INDEX(Categories!$A$5:$A$93,MATCH(G23,Categories!$B$5:$B$93,0)),"")</f>
        <v/>
      </c>
      <c r="I23" s="9" t="inlineStr">
        <is>
          <t>D</t>
        </is>
      </c>
      <c r="J23" s="9" t="inlineStr"/>
    </row>
    <row r="24">
      <c r="A24" s="9" t="inlineStr">
        <is>
          <t>Checking ...0861</t>
        </is>
      </c>
      <c r="B24" s="29" t="n">
        <v>46265</v>
      </c>
      <c r="C24" s="9" t="inlineStr">
        <is>
          <t>BOULDER VINTAGE BOULDER CITY NV              08/29</t>
        </is>
      </c>
      <c r="D24" s="10" t="n">
        <v>-25.96</v>
      </c>
      <c r="E24" s="9" t="inlineStr">
        <is>
          <t>DEBIT_CARD</t>
        </is>
      </c>
      <c r="F24" s="10" t="n">
        <v>2249.69</v>
      </c>
      <c r="G24" s="9" t="inlineStr">
        <is>
          <t>Vacation</t>
        </is>
      </c>
      <c r="H24">
        <f>IFERROR(INDEX(Categories!$A$5:$A$93,MATCH(G24,Categories!$B$5:$B$93,0)),"")</f>
        <v/>
      </c>
      <c r="I24" s="9" t="inlineStr">
        <is>
          <t>D</t>
        </is>
      </c>
      <c r="J24" s="9" t="inlineStr">
        <is>
          <t>Hotel/travel-city charge, looks like part of a trip</t>
        </is>
      </c>
    </row>
    <row r="25">
      <c r="A25" s="9" t="inlineStr">
        <is>
          <t>Checking ...0861</t>
        </is>
      </c>
      <c r="B25" s="29" t="n">
        <v>46265</v>
      </c>
      <c r="C25" s="9" t="inlineStr">
        <is>
          <t>SQ *RETAIL - BOULDER BOULDER CITY NV         08/29</t>
        </is>
      </c>
      <c r="D25" s="10" t="n">
        <v>-25.77</v>
      </c>
      <c r="E25" s="9" t="inlineStr">
        <is>
          <t>DEBIT_CARD</t>
        </is>
      </c>
      <c r="F25" s="10" t="n">
        <v>2275.65</v>
      </c>
      <c r="G25" s="9" t="inlineStr">
        <is>
          <t>Food - Eat Out</t>
        </is>
      </c>
      <c r="H25">
        <f>IFERROR(INDEX(Categories!$A$5:$A$93,MATCH(G25,Categories!$B$5:$B$93,0)),"")</f>
        <v/>
      </c>
      <c r="I25" s="9" t="inlineStr">
        <is>
          <t>D</t>
        </is>
      </c>
      <c r="J25" s="9" t="inlineStr"/>
    </row>
    <row r="26">
      <c r="A26" s="9" t="inlineStr">
        <is>
          <t>Checking ...0861</t>
        </is>
      </c>
      <c r="B26" s="29" t="n">
        <v>46265</v>
      </c>
      <c r="C26" s="9" t="inlineStr">
        <is>
          <t>SQ *DAM ROAST HOUSE &amp; Boulder City NV        08/29</t>
        </is>
      </c>
      <c r="D26" s="10" t="n">
        <v>-30.13</v>
      </c>
      <c r="E26" s="9" t="inlineStr">
        <is>
          <t>DEBIT_CARD</t>
        </is>
      </c>
      <c r="F26" s="10" t="n">
        <v>2301.42</v>
      </c>
      <c r="G26" s="9" t="inlineStr">
        <is>
          <t>Food - Eat Out</t>
        </is>
      </c>
      <c r="H26">
        <f>IFERROR(INDEX(Categories!$A$5:$A$93,MATCH(G26,Categories!$B$5:$B$93,0)),"")</f>
        <v/>
      </c>
      <c r="I26" s="9" t="inlineStr">
        <is>
          <t>D</t>
        </is>
      </c>
      <c r="J26" s="9" t="inlineStr"/>
    </row>
    <row r="27">
      <c r="A27" s="9" t="inlineStr">
        <is>
          <t>Checking ...0861</t>
        </is>
      </c>
      <c r="B27" s="29" t="n">
        <v>46265</v>
      </c>
      <c r="C27" s="9" t="inlineStr">
        <is>
          <t>MANILA BBQ &amp; SEAFOOD HENDERSON NV            08/29</t>
        </is>
      </c>
      <c r="D27" s="10" t="n">
        <v>-181.85</v>
      </c>
      <c r="E27" s="9" t="inlineStr">
        <is>
          <t>DEBIT_CARD</t>
        </is>
      </c>
      <c r="F27" s="10" t="n">
        <v>2331.55</v>
      </c>
      <c r="G27" s="9" t="inlineStr">
        <is>
          <t>Food - Eat Out</t>
        </is>
      </c>
      <c r="H27">
        <f>IFERROR(INDEX(Categories!$A$5:$A$93,MATCH(G27,Categories!$B$5:$B$93,0)),"")</f>
        <v/>
      </c>
      <c r="I27" s="9" t="inlineStr">
        <is>
          <t>D</t>
        </is>
      </c>
      <c r="J27" s="9" t="inlineStr">
        <is>
          <t>Restaurant/fast-food - defaulted to Eat Out; move to Food - Ailynn/Chris/Misc if you know whose order it was</t>
        </is>
      </c>
    </row>
    <row r="28">
      <c r="A28" s="9" t="inlineStr">
        <is>
          <t>Checking ...0861</t>
        </is>
      </c>
      <c r="B28" s="29" t="n">
        <v>46265</v>
      </c>
      <c r="C28" s="9" t="inlineStr">
        <is>
          <t>ATM WITHDRAWAL                       002869  08/29605 MARKS</t>
        </is>
      </c>
      <c r="D28" s="10" t="n">
        <v>-100</v>
      </c>
      <c r="E28" s="9" t="inlineStr">
        <is>
          <t>ATM</t>
        </is>
      </c>
      <c r="F28" s="10" t="n">
        <v>2513.4</v>
      </c>
      <c r="G28" s="9" t="inlineStr">
        <is>
          <t>Others</t>
        </is>
      </c>
      <c r="H28">
        <f>IFERROR(INDEX(Categories!$A$5:$A$93,MATCH(G28,Categories!$B$5:$B$93,0)),"")</f>
        <v/>
      </c>
      <c r="I28" s="9" t="inlineStr">
        <is>
          <t>H</t>
        </is>
      </c>
      <c r="J28" s="9" t="inlineStr">
        <is>
          <t>ATM cash withdrawal - cash spend is untracked after this point</t>
        </is>
      </c>
    </row>
    <row r="29">
      <c r="A29" s="9" t="inlineStr">
        <is>
          <t>Checking ...0861</t>
        </is>
      </c>
      <c r="B29" s="29" t="n">
        <v>46265</v>
      </c>
      <c r="C29" s="9" t="inlineStr">
        <is>
          <t>MSS SURFACE LOT LAS VEGAS NV                 08/28</t>
        </is>
      </c>
      <c r="D29" s="10" t="n">
        <v>-20</v>
      </c>
      <c r="E29" s="9" t="inlineStr">
        <is>
          <t>DEBIT_CARD</t>
        </is>
      </c>
      <c r="F29" s="10" t="n">
        <v>2613.4</v>
      </c>
      <c r="G29" s="9" t="inlineStr">
        <is>
          <t>Vacation</t>
        </is>
      </c>
      <c r="H29">
        <f>IFERROR(INDEX(Categories!$A$5:$A$93,MATCH(G29,Categories!$B$5:$B$93,0)),"")</f>
        <v/>
      </c>
      <c r="I29" s="9" t="inlineStr">
        <is>
          <t>D</t>
        </is>
      </c>
      <c r="J29" s="9" t="inlineStr">
        <is>
          <t>Hotel/travel-city charge, looks like part of a trip</t>
        </is>
      </c>
    </row>
    <row r="30">
      <c r="A30" s="9" t="inlineStr">
        <is>
          <t>Checking ...0861</t>
        </is>
      </c>
      <c r="B30" s="29" t="n">
        <v>46265</v>
      </c>
      <c r="C30" s="9" t="inlineStr">
        <is>
          <t>STEAK N SHAKE FREMONT LAS VEGAS NV           08/28</t>
        </is>
      </c>
      <c r="D30" s="10" t="n">
        <v>-31.57</v>
      </c>
      <c r="E30" s="9" t="inlineStr">
        <is>
          <t>DEBIT_CARD</t>
        </is>
      </c>
      <c r="F30" s="10" t="n">
        <v>2633.4</v>
      </c>
      <c r="G30" s="9" t="inlineStr">
        <is>
          <t>Food - Eat Out</t>
        </is>
      </c>
      <c r="H30">
        <f>IFERROR(INDEX(Categories!$A$5:$A$93,MATCH(G30,Categories!$B$5:$B$93,0)),"")</f>
        <v/>
      </c>
      <c r="I30" s="9" t="inlineStr">
        <is>
          <t>D</t>
        </is>
      </c>
      <c r="J30" s="9" t="inlineStr">
        <is>
          <t>Restaurant/fast-food - defaulted to Eat Out; move to Food - Ailynn/Chris/Misc if you know whose order it was</t>
        </is>
      </c>
    </row>
    <row r="31">
      <c r="A31" s="9" t="inlineStr">
        <is>
          <t>Checking ...0861</t>
        </is>
      </c>
      <c r="B31" s="29" t="n">
        <v>46265</v>
      </c>
      <c r="C31" s="9" t="inlineStr">
        <is>
          <t>Klarna* Klarna 151-7426184 DE                08/29</t>
        </is>
      </c>
      <c r="D31" s="10" t="n">
        <v>-7.34</v>
      </c>
      <c r="E31" s="9" t="inlineStr">
        <is>
          <t>DEBIT_CARD</t>
        </is>
      </c>
      <c r="F31" s="10" t="n">
        <v>2664.97</v>
      </c>
      <c r="G31" s="9" t="inlineStr">
        <is>
          <t>Klarna</t>
        </is>
      </c>
      <c r="H31">
        <f>IFERROR(INDEX(Categories!$A$5:$A$93,MATCH(G31,Categories!$B$5:$B$93,0)),"")</f>
        <v/>
      </c>
      <c r="I31" s="9" t="inlineStr">
        <is>
          <t>H</t>
        </is>
      </c>
      <c r="J31" s="9" t="inlineStr"/>
    </row>
    <row r="32">
      <c r="A32" s="9" t="inlineStr">
        <is>
          <t>Checking ...0861</t>
        </is>
      </c>
      <c r="B32" s="29" t="n">
        <v>46265</v>
      </c>
      <c r="C32" s="9" t="inlineStr">
        <is>
          <t>CLARK CO PARKS AND REC 7024558132 NV         08/28</t>
        </is>
      </c>
      <c r="D32" s="10" t="n">
        <v>-10</v>
      </c>
      <c r="E32" s="9" t="inlineStr">
        <is>
          <t>DEBIT_CARD</t>
        </is>
      </c>
      <c r="F32" s="10" t="n">
        <v>2672.31</v>
      </c>
      <c r="G32" s="9" t="inlineStr">
        <is>
          <t>Vacation</t>
        </is>
      </c>
      <c r="H32">
        <f>IFERROR(INDEX(Categories!$A$5:$A$93,MATCH(G32,Categories!$B$5:$B$93,0)),"")</f>
        <v/>
      </c>
      <c r="I32" s="9" t="inlineStr">
        <is>
          <t>D</t>
        </is>
      </c>
      <c r="J32" s="9" t="inlineStr">
        <is>
          <t>Hotel/travel-city charge, looks like part of a trip</t>
        </is>
      </c>
    </row>
    <row r="33">
      <c r="A33" s="9" t="inlineStr">
        <is>
          <t>Checking ...0861</t>
        </is>
      </c>
      <c r="B33" s="29" t="n">
        <v>46265</v>
      </c>
      <c r="C33" s="9" t="inlineStr">
        <is>
          <t>SQ *EVERGREEN COFFEE Henderson NV            08/28</t>
        </is>
      </c>
      <c r="D33" s="10" t="n">
        <v>-68.81999999999999</v>
      </c>
      <c r="E33" s="9" t="inlineStr">
        <is>
          <t>DEBIT_CARD</t>
        </is>
      </c>
      <c r="F33" s="10" t="n">
        <v>2682.31</v>
      </c>
      <c r="G33" s="9" t="inlineStr">
        <is>
          <t>Food - Eat Out</t>
        </is>
      </c>
      <c r="H33">
        <f>IFERROR(INDEX(Categories!$A$5:$A$93,MATCH(G33,Categories!$B$5:$B$93,0)),"")</f>
        <v/>
      </c>
      <c r="I33" s="9" t="inlineStr">
        <is>
          <t>D</t>
        </is>
      </c>
      <c r="J33" s="9" t="inlineStr">
        <is>
          <t>Restaurant/fast-food - defaulted to Eat Out; move to Food - Ailynn/Chris/Misc if you know whose order it was</t>
        </is>
      </c>
    </row>
    <row r="34">
      <c r="A34" s="9" t="inlineStr">
        <is>
          <t>Checking ...0861</t>
        </is>
      </c>
      <c r="B34" s="29" t="n">
        <v>46265</v>
      </c>
      <c r="C34" s="9" t="inlineStr">
        <is>
          <t>Google One 650-2530000 CA                    08/30</t>
        </is>
      </c>
      <c r="D34" s="10" t="n">
        <v>-2.99</v>
      </c>
      <c r="E34" s="9" t="inlineStr">
        <is>
          <t>DEBIT_CARD</t>
        </is>
      </c>
      <c r="F34" s="10" t="n">
        <v>2751.13</v>
      </c>
      <c r="G34" s="9" t="inlineStr">
        <is>
          <t>Google 1</t>
        </is>
      </c>
      <c r="H34">
        <f>IFERROR(INDEX(Categories!$A$5:$A$93,MATCH(G34,Categories!$B$5:$B$93,0)),"")</f>
        <v/>
      </c>
      <c r="I34" s="9" t="inlineStr">
        <is>
          <t>H</t>
        </is>
      </c>
      <c r="J34" s="9" t="inlineStr"/>
    </row>
    <row r="35">
      <c r="A35" s="9" t="inlineStr">
        <is>
          <t>Checking ...0861</t>
        </is>
      </c>
      <c r="B35" s="29" t="n">
        <v>46265</v>
      </c>
      <c r="C35" s="9" t="inlineStr">
        <is>
          <t>Zelle payment from ANGELYNN FLORA PNCAA0cvc63x</t>
        </is>
      </c>
      <c r="D35" s="10" t="n">
        <v>330</v>
      </c>
      <c r="E35" s="9" t="inlineStr">
        <is>
          <t>PARTNERFI_TO_CHASE</t>
        </is>
      </c>
      <c r="F35" s="10" t="n">
        <v>2754.12</v>
      </c>
      <c r="G35" s="9" t="inlineStr">
        <is>
          <t>Others - Income</t>
        </is>
      </c>
      <c r="H35">
        <f>IFERROR(INDEX(Categories!$A$5:$A$93,MATCH(G35,Categories!$B$5:$B$93,0)),"")</f>
        <v/>
      </c>
      <c r="I35" s="9" t="inlineStr">
        <is>
          <t>R</t>
        </is>
      </c>
      <c r="J35" s="9" t="inlineStr">
        <is>
          <t>Zelle received - please tell me who this person is so I can map them to a category</t>
        </is>
      </c>
    </row>
    <row r="36">
      <c r="A36" s="9" t="inlineStr">
        <is>
          <t>Checking ...0861</t>
        </is>
      </c>
      <c r="B36" s="29" t="n">
        <v>46262</v>
      </c>
      <c r="C36" s="9" t="inlineStr">
        <is>
          <t>PAYPAL           TRANSFER   ADD TO BALANCE  WEB ID: PAYPALSD22</t>
        </is>
      </c>
      <c r="D36" s="10" t="n">
        <v>-50</v>
      </c>
      <c r="E36" s="9" t="inlineStr">
        <is>
          <t>ACH_DEBIT</t>
        </is>
      </c>
      <c r="F36" s="10" t="n">
        <v>2424.12</v>
      </c>
      <c r="G36" s="9" t="inlineStr">
        <is>
          <t>Transfer - Checking to PayPal</t>
        </is>
      </c>
      <c r="H36">
        <f>IFERROR(INDEX(Categories!$A$5:$A$93,MATCH(G36,Categories!$B$5:$B$93,0)),"")</f>
        <v/>
      </c>
      <c r="I36" s="9" t="inlineStr">
        <is>
          <t>H</t>
        </is>
      </c>
      <c r="J36" s="9" t="inlineStr"/>
    </row>
    <row r="37">
      <c r="A37" s="9" t="inlineStr">
        <is>
          <t>Checking ...0861</t>
        </is>
      </c>
      <c r="B37" s="29" t="n">
        <v>46262</v>
      </c>
      <c r="C37" s="9" t="inlineStr">
        <is>
          <t>SP+AFF * AEROFLOWDYNA 855-423-3729 CA        08/28</t>
        </is>
      </c>
      <c r="D37" s="10" t="n">
        <v>-19.56</v>
      </c>
      <c r="E37" s="9" t="inlineStr">
        <is>
          <t>DEBIT_CARD</t>
        </is>
      </c>
      <c r="F37" s="10" t="n">
        <v>2474.12</v>
      </c>
      <c r="G37" s="9" t="inlineStr">
        <is>
          <t>Shop - Others</t>
        </is>
      </c>
      <c r="H37">
        <f>IFERROR(INDEX(Categories!$A$5:$A$93,MATCH(G37,Categories!$B$5:$B$93,0)),"")</f>
        <v/>
      </c>
      <c r="I37" s="9" t="inlineStr">
        <is>
          <t>R</t>
        </is>
      </c>
      <c r="J37" s="9" t="inlineStr">
        <is>
          <t>Small online-shop charge via an affiliate/Affirm-style processor - description doesn't name the actual store</t>
        </is>
      </c>
    </row>
    <row r="38">
      <c r="A38" s="9" t="inlineStr">
        <is>
          <t>Checking ...0861</t>
        </is>
      </c>
      <c r="B38" s="29" t="n">
        <v>46262</v>
      </c>
      <c r="C38" s="9" t="inlineStr">
        <is>
          <t>SP+AFF * EUFY US 855-423-3729 CA             08/28</t>
        </is>
      </c>
      <c r="D38" s="10" t="n">
        <v>-88.23999999999999</v>
      </c>
      <c r="E38" s="9" t="inlineStr">
        <is>
          <t>DEBIT_CARD</t>
        </is>
      </c>
      <c r="F38" s="10" t="n">
        <v>2493.68</v>
      </c>
      <c r="G38" s="9" t="inlineStr">
        <is>
          <t>Shop - Others</t>
        </is>
      </c>
      <c r="H38">
        <f>IFERROR(INDEX(Categories!$A$5:$A$93,MATCH(G38,Categories!$B$5:$B$93,0)),"")</f>
        <v/>
      </c>
      <c r="I38" s="9" t="inlineStr">
        <is>
          <t>R</t>
        </is>
      </c>
      <c r="J38" s="9" t="inlineStr">
        <is>
          <t>Small online-shop charge via an affiliate/Affirm-style processor - description doesn't name the actual store</t>
        </is>
      </c>
    </row>
    <row r="39">
      <c r="A39" s="9" t="inlineStr">
        <is>
          <t>Checking ...0861</t>
        </is>
      </c>
      <c r="B39" s="29" t="n">
        <v>46262</v>
      </c>
      <c r="C39" s="9" t="inlineStr">
        <is>
          <t>Online Transfer to  SAV ...5953 transaction#: 30494287738</t>
        </is>
      </c>
      <c r="D39" s="10" t="n">
        <v>-25</v>
      </c>
      <c r="E39" s="9" t="inlineStr">
        <is>
          <t>ACCT_XFER</t>
        </is>
      </c>
      <c r="F39" s="10" t="n">
        <v>2581.92</v>
      </c>
      <c r="G39" s="9" t="inlineStr">
        <is>
          <t>Transfer - Checking to Savings</t>
        </is>
      </c>
      <c r="H39">
        <f>IFERROR(INDEX(Categories!$A$5:$A$93,MATCH(G39,Categories!$B$5:$B$93,0)),"")</f>
        <v/>
      </c>
      <c r="I39" s="9" t="inlineStr">
        <is>
          <t>H</t>
        </is>
      </c>
      <c r="J39" s="9" t="inlineStr"/>
    </row>
    <row r="40">
      <c r="A40" s="9" t="inlineStr">
        <is>
          <t>Checking ...0861</t>
        </is>
      </c>
      <c r="B40" s="29" t="n">
        <v>46262</v>
      </c>
      <c r="C40" s="9" t="inlineStr">
        <is>
          <t>AMAZON.COM SERVI INTERNET   043000093323126 WEB ID: 9049016352</t>
        </is>
      </c>
      <c r="D40" s="10" t="n">
        <v>-38.9</v>
      </c>
      <c r="E40" s="9" t="inlineStr">
        <is>
          <t>ACH_DEBIT</t>
        </is>
      </c>
      <c r="F40" s="10" t="n">
        <v>2606.92</v>
      </c>
      <c r="G40" s="9" t="inlineStr">
        <is>
          <t>Shop - Amazon</t>
        </is>
      </c>
      <c r="H40">
        <f>IFERROR(INDEX(Categories!$A$5:$A$93,MATCH(G40,Categories!$B$5:$B$93,0)),"")</f>
        <v/>
      </c>
      <c r="I40" s="9" t="inlineStr">
        <is>
          <t>H</t>
        </is>
      </c>
      <c r="J40" s="9" t="inlineStr"/>
    </row>
    <row r="41">
      <c r="A41" s="9" t="inlineStr">
        <is>
          <t>Checking ...0861</t>
        </is>
      </c>
      <c r="B41" s="29" t="n">
        <v>46262</v>
      </c>
      <c r="C41" s="9" t="inlineStr">
        <is>
          <t>Taptap Send New York NY                      08/28</t>
        </is>
      </c>
      <c r="D41" s="10" t="n">
        <v>-32.41</v>
      </c>
      <c r="E41" s="9" t="inlineStr">
        <is>
          <t>DEBIT_CARD</t>
        </is>
      </c>
      <c r="F41" s="10" t="n">
        <v>2645.82</v>
      </c>
      <c r="G41" s="9" t="inlineStr">
        <is>
          <t>Remittance - others</t>
        </is>
      </c>
      <c r="H41">
        <f>IFERROR(INDEX(Categories!$A$5:$A$93,MATCH(G41,Categories!$B$5:$B$93,0)),"")</f>
        <v/>
      </c>
      <c r="I41" s="9" t="inlineStr">
        <is>
          <t>R</t>
        </is>
      </c>
      <c r="J41" s="9" t="inlineStr">
        <is>
          <t>Remittance app transfer - recipient not shown; please tell me if this is Aron, Aron's tuition, or someone else</t>
        </is>
      </c>
    </row>
    <row r="42">
      <c r="A42" s="9" t="inlineStr">
        <is>
          <t>Checking ...0861</t>
        </is>
      </c>
      <c r="B42" s="29" t="n">
        <v>46262</v>
      </c>
      <c r="C42" s="9" t="inlineStr">
        <is>
          <t>Zelle payment from Rose Ann Alonzo USAQ1EWTENUA</t>
        </is>
      </c>
      <c r="D42" s="10" t="n">
        <v>1700</v>
      </c>
      <c r="E42" s="9" t="inlineStr">
        <is>
          <t>PARTNERFI_TO_CHASE</t>
        </is>
      </c>
      <c r="F42" s="10" t="n">
        <v>2678.23</v>
      </c>
      <c r="G42" s="9" t="inlineStr">
        <is>
          <t>Others - Income</t>
        </is>
      </c>
      <c r="H42">
        <f>IFERROR(INDEX(Categories!$A$5:$A$93,MATCH(G42,Categories!$B$5:$B$93,0)),"")</f>
        <v/>
      </c>
      <c r="I42" s="9" t="inlineStr">
        <is>
          <t>R</t>
        </is>
      </c>
      <c r="J42" s="9" t="inlineStr">
        <is>
          <t>Zelle received - please tell me who this person is so I can map them to a category</t>
        </is>
      </c>
    </row>
    <row r="43">
      <c r="A43" s="9" t="inlineStr">
        <is>
          <t>Checking ...0861</t>
        </is>
      </c>
      <c r="B43" s="29" t="n">
        <v>46261</v>
      </c>
      <c r="C43" s="9" t="inlineStr">
        <is>
          <t>CAPITAL ONE      CRCARDPMT  CA0D8729CD49526 WEB ID: 9541719318</t>
        </is>
      </c>
      <c r="D43" s="10" t="n">
        <v>-100</v>
      </c>
      <c r="E43" s="9" t="inlineStr">
        <is>
          <t>ACH_DEBIT</t>
        </is>
      </c>
      <c r="F43" s="10" t="n">
        <v>978.23</v>
      </c>
      <c r="G43" s="9" t="inlineStr">
        <is>
          <t>CC - Capital 1</t>
        </is>
      </c>
      <c r="H43">
        <f>IFERROR(INDEX(Categories!$A$5:$A$93,MATCH(G43,Categories!$B$5:$B$93,0)),"")</f>
        <v/>
      </c>
      <c r="I43" s="9" t="inlineStr">
        <is>
          <t>H</t>
        </is>
      </c>
      <c r="J43" s="9" t="inlineStr"/>
    </row>
    <row r="44">
      <c r="A44" s="9" t="inlineStr">
        <is>
          <t>Checking ...0861</t>
        </is>
      </c>
      <c r="B44" s="29" t="n">
        <v>46261</v>
      </c>
      <c r="C44" s="9" t="inlineStr">
        <is>
          <t>PAYPAL           PURCHASE   GOOGLE BYTEDANC WEB ID: PAYPALSI77</t>
        </is>
      </c>
      <c r="D44" s="10" t="n">
        <v>-9.19</v>
      </c>
      <c r="E44" s="9" t="inlineStr">
        <is>
          <t>ACH_DEBIT</t>
        </is>
      </c>
      <c r="F44" s="10" t="n">
        <v>1078.23</v>
      </c>
      <c r="G44" s="9" t="inlineStr">
        <is>
          <t>Others</t>
        </is>
      </c>
      <c r="H44">
        <f>IFERROR(INDEX(Categories!$A$5:$A$93,MATCH(G44,Categories!$B$5:$B$93,0)),"")</f>
        <v/>
      </c>
      <c r="I44" s="9" t="inlineStr">
        <is>
          <t>R</t>
        </is>
      </c>
      <c r="J44" s="9" t="inlineStr">
        <is>
          <t>Subscription/purchase via PayPal (Apple, Etsy, Google apps, Lyft, AARP, etc.) - no matching category</t>
        </is>
      </c>
    </row>
    <row r="45">
      <c r="A45" s="9" t="inlineStr">
        <is>
          <t>Checking ...0861</t>
        </is>
      </c>
      <c r="B45" s="29" t="n">
        <v>46261</v>
      </c>
      <c r="C45" s="9" t="inlineStr">
        <is>
          <t>AMAZON MARKETPLA INTERNET   043000092200686 WEB ID: 9049016352</t>
        </is>
      </c>
      <c r="D45" s="10" t="n">
        <v>-9.74</v>
      </c>
      <c r="E45" s="9" t="inlineStr">
        <is>
          <t>ACH_DEBIT</t>
        </is>
      </c>
      <c r="F45" s="10" t="n">
        <v>1087.42</v>
      </c>
      <c r="G45" s="9" t="inlineStr">
        <is>
          <t>Shop - Amazon</t>
        </is>
      </c>
      <c r="H45">
        <f>IFERROR(INDEX(Categories!$A$5:$A$93,MATCH(G45,Categories!$B$5:$B$93,0)),"")</f>
        <v/>
      </c>
      <c r="I45" s="9" t="inlineStr">
        <is>
          <t>H</t>
        </is>
      </c>
      <c r="J45" s="9" t="inlineStr"/>
    </row>
    <row r="46">
      <c r="A46" s="9" t="inlineStr">
        <is>
          <t>Checking ...0861</t>
        </is>
      </c>
      <c r="B46" s="29" t="n">
        <v>46261</v>
      </c>
      <c r="C46" s="9" t="inlineStr">
        <is>
          <t>CHEVRON 0209895 HENDERSON NV                 08/27</t>
        </is>
      </c>
      <c r="D46" s="10" t="n">
        <v>-68.2</v>
      </c>
      <c r="E46" s="9" t="inlineStr">
        <is>
          <t>DEBIT_CARD</t>
        </is>
      </c>
      <c r="F46" s="10" t="n">
        <v>1097.16</v>
      </c>
      <c r="G46" s="9" t="inlineStr">
        <is>
          <t>Gas</t>
        </is>
      </c>
      <c r="H46">
        <f>IFERROR(INDEX(Categories!$A$5:$A$93,MATCH(G46,Categories!$B$5:$B$93,0)),"")</f>
        <v/>
      </c>
      <c r="I46" s="9" t="inlineStr">
        <is>
          <t>D</t>
        </is>
      </c>
      <c r="J46" s="9" t="inlineStr"/>
    </row>
    <row r="47">
      <c r="A47" s="9" t="inlineStr">
        <is>
          <t>Checking ...0861</t>
        </is>
      </c>
      <c r="B47" s="29" t="n">
        <v>46260</v>
      </c>
      <c r="C47" s="9" t="inlineStr">
        <is>
          <t>MISSION LANE     EDI PYMNTS                 PPD ID: 2832674981</t>
        </is>
      </c>
      <c r="D47" s="10" t="n">
        <v>-2.31</v>
      </c>
      <c r="E47" s="9" t="inlineStr">
        <is>
          <t>ACH_DEBIT</t>
        </is>
      </c>
      <c r="F47" s="10" t="n">
        <v>1165.36</v>
      </c>
      <c r="G47" s="9" t="inlineStr">
        <is>
          <t>CC - Mission Lane</t>
        </is>
      </c>
      <c r="H47">
        <f>IFERROR(INDEX(Categories!$A$5:$A$93,MATCH(G47,Categories!$B$5:$B$93,0)),"")</f>
        <v/>
      </c>
      <c r="I47" s="9" t="inlineStr">
        <is>
          <t>H</t>
        </is>
      </c>
      <c r="J47" s="9" t="inlineStr"/>
    </row>
    <row r="48">
      <c r="A48" s="9" t="inlineStr">
        <is>
          <t>Checking ...0861</t>
        </is>
      </c>
      <c r="B48" s="29" t="n">
        <v>46260</v>
      </c>
      <c r="C48" s="9" t="inlineStr">
        <is>
          <t>HABIT BURGER 5008 HENDERSON NV               08/25</t>
        </is>
      </c>
      <c r="D48" s="10" t="n">
        <v>-41.19</v>
      </c>
      <c r="E48" s="9" t="inlineStr">
        <is>
          <t>DEBIT_CARD</t>
        </is>
      </c>
      <c r="F48" s="10" t="n">
        <v>1167.67</v>
      </c>
      <c r="G48" s="9" t="inlineStr">
        <is>
          <t>Food - Eat Out</t>
        </is>
      </c>
      <c r="H48">
        <f>IFERROR(INDEX(Categories!$A$5:$A$93,MATCH(G48,Categories!$B$5:$B$93,0)),"")</f>
        <v/>
      </c>
      <c r="I48" s="9" t="inlineStr">
        <is>
          <t>D</t>
        </is>
      </c>
      <c r="J48" s="9" t="inlineStr">
        <is>
          <t>Restaurant/fast-food - defaulted to Eat Out; move to Food - Ailynn/Chris/Misc if you know whose order it was</t>
        </is>
      </c>
    </row>
    <row r="49">
      <c r="A49" s="9" t="inlineStr">
        <is>
          <t>Checking ...0861</t>
        </is>
      </c>
      <c r="B49" s="29" t="n">
        <v>46260</v>
      </c>
      <c r="C49" s="9" t="inlineStr">
        <is>
          <t>CHIC AND COZY CONSIGNME HENDERSON NV         08/25</t>
        </is>
      </c>
      <c r="D49" s="10" t="n">
        <v>-32.51</v>
      </c>
      <c r="E49" s="9" t="inlineStr">
        <is>
          <t>DEBIT_CARD</t>
        </is>
      </c>
      <c r="F49" s="10" t="n">
        <v>1208.86</v>
      </c>
      <c r="G49" s="9" t="inlineStr">
        <is>
          <t>Shop - Others</t>
        </is>
      </c>
      <c r="H49">
        <f>IFERROR(INDEX(Categories!$A$5:$A$93,MATCH(G49,Categories!$B$5:$B$93,0)),"")</f>
        <v/>
      </c>
      <c r="I49" s="9" t="inlineStr">
        <is>
          <t>D</t>
        </is>
      </c>
      <c r="J49" s="9" t="inlineStr"/>
    </row>
    <row r="50">
      <c r="A50" s="9" t="inlineStr">
        <is>
          <t>Checking ...0861</t>
        </is>
      </c>
      <c r="B50" s="29" t="n">
        <v>46260</v>
      </c>
      <c r="C50" s="9" t="inlineStr">
        <is>
          <t>CHIC AND COZY CONSIGNME HENDERSON NV         08/25</t>
        </is>
      </c>
      <c r="D50" s="10" t="n">
        <v>-346.78</v>
      </c>
      <c r="E50" s="9" t="inlineStr">
        <is>
          <t>DEBIT_CARD</t>
        </is>
      </c>
      <c r="F50" s="10" t="n">
        <v>1241.37</v>
      </c>
      <c r="G50" s="9" t="inlineStr">
        <is>
          <t>Shop - Others</t>
        </is>
      </c>
      <c r="H50">
        <f>IFERROR(INDEX(Categories!$A$5:$A$93,MATCH(G50,Categories!$B$5:$B$93,0)),"")</f>
        <v/>
      </c>
      <c r="I50" s="9" t="inlineStr">
        <is>
          <t>D</t>
        </is>
      </c>
      <c r="J50" s="9" t="inlineStr"/>
    </row>
    <row r="51">
      <c r="A51" s="9" t="inlineStr">
        <is>
          <t>Checking ...0861</t>
        </is>
      </c>
      <c r="B51" s="29" t="n">
        <v>46260</v>
      </c>
      <c r="C51" s="9" t="inlineStr">
        <is>
          <t>COMCAST-XFINITY  CABLE SVCS                 PPD ID: 0000213249</t>
        </is>
      </c>
      <c r="D51" s="10" t="n">
        <v>13.97</v>
      </c>
      <c r="E51" s="9" t="inlineStr">
        <is>
          <t>ACH_CREDIT</t>
        </is>
      </c>
      <c r="F51" s="10" t="n">
        <v>1588.15</v>
      </c>
      <c r="G51" s="9" t="inlineStr">
        <is>
          <t>Comcast</t>
        </is>
      </c>
      <c r="H51">
        <f>IFERROR(INDEX(Categories!$A$5:$A$93,MATCH(G51,Categories!$B$5:$B$93,0)),"")</f>
        <v/>
      </c>
      <c r="I51" s="9" t="inlineStr">
        <is>
          <t>H</t>
        </is>
      </c>
      <c r="J51" s="9" t="inlineStr"/>
    </row>
    <row r="52">
      <c r="A52" s="9" t="inlineStr">
        <is>
          <t>Checking ...0861</t>
        </is>
      </c>
      <c r="B52" s="29" t="n">
        <v>46260</v>
      </c>
      <c r="C52" s="9" t="inlineStr">
        <is>
          <t>PAYPAL           TRANSFER                   PPD ID: PAYPALSD11</t>
        </is>
      </c>
      <c r="D52" s="10" t="n">
        <v>1000</v>
      </c>
      <c r="E52" s="9" t="inlineStr">
        <is>
          <t>ACH_CREDIT</t>
        </is>
      </c>
      <c r="F52" s="10" t="n">
        <v>1574.18</v>
      </c>
      <c r="G52" s="9" t="inlineStr">
        <is>
          <t>Transfer - PayPal to Checking</t>
        </is>
      </c>
      <c r="H52">
        <f>IFERROR(INDEX(Categories!$A$5:$A$93,MATCH(G52,Categories!$B$5:$B$93,0)),"")</f>
        <v/>
      </c>
      <c r="I52" s="9" t="inlineStr">
        <is>
          <t>H</t>
        </is>
      </c>
      <c r="J52" s="9" t="inlineStr"/>
    </row>
    <row r="53">
      <c r="A53" s="9" t="inlineStr">
        <is>
          <t>Checking ...0861</t>
        </is>
      </c>
      <c r="B53" s="29" t="n">
        <v>46259</v>
      </c>
      <c r="C53" s="9" t="inlineStr">
        <is>
          <t>CHECK OR SUPPLY  ORDER                      PPD ID: 1410216800</t>
        </is>
      </c>
      <c r="D53" s="10" t="n">
        <v>-30</v>
      </c>
      <c r="E53" s="9" t="inlineStr">
        <is>
          <t>FEE_TRANSACTION</t>
        </is>
      </c>
      <c r="F53" s="10" t="n">
        <v>574.1799999999999</v>
      </c>
      <c r="G53" s="9" t="inlineStr">
        <is>
          <t>Others</t>
        </is>
      </c>
      <c r="H53">
        <f>IFERROR(INDEX(Categories!$A$5:$A$93,MATCH(G53,Categories!$B$5:$B$93,0)),"")</f>
        <v/>
      </c>
      <c r="I53" s="9" t="inlineStr">
        <is>
          <t>H</t>
        </is>
      </c>
      <c r="J53" s="9" t="inlineStr">
        <is>
          <t>Bank fee</t>
        </is>
      </c>
    </row>
    <row r="54">
      <c r="A54" s="9" t="inlineStr">
        <is>
          <t>Checking ...0861</t>
        </is>
      </c>
      <c r="B54" s="29" t="n">
        <v>46259</v>
      </c>
      <c r="C54" s="9" t="inlineStr">
        <is>
          <t>PAYPAL           PURCHASE   GOOGLE YOUTUBE  WEB ID: PAYPALSI77</t>
        </is>
      </c>
      <c r="D54" s="10" t="n">
        <v>-14.71</v>
      </c>
      <c r="E54" s="9" t="inlineStr">
        <is>
          <t>ACH_DEBIT</t>
        </is>
      </c>
      <c r="F54" s="10" t="n">
        <v>604.1799999999999</v>
      </c>
      <c r="G54" s="9" t="inlineStr">
        <is>
          <t>YT Premium</t>
        </is>
      </c>
      <c r="H54">
        <f>IFERROR(INDEX(Categories!$A$5:$A$93,MATCH(G54,Categories!$B$5:$B$93,0)),"")</f>
        <v/>
      </c>
      <c r="I54" s="9" t="inlineStr">
        <is>
          <t>H</t>
        </is>
      </c>
      <c r="J54" s="9" t="inlineStr"/>
    </row>
    <row r="55">
      <c r="A55" s="9" t="inlineStr">
        <is>
          <t>Checking ...0861</t>
        </is>
      </c>
      <c r="B55" s="29" t="n">
        <v>46259</v>
      </c>
      <c r="C55" s="9" t="inlineStr">
        <is>
          <t>Online Payment 30543945066 To PACIFIC GAS &amp; ELECTRIC (PG&amp;E) 08/25</t>
        </is>
      </c>
      <c r="D55" s="10" t="n">
        <v>-165.5</v>
      </c>
      <c r="E55" s="9" t="inlineStr">
        <is>
          <t>BILLPAY</t>
        </is>
      </c>
      <c r="F55" s="10" t="n">
        <v>618.89</v>
      </c>
      <c r="G55" s="9" t="inlineStr">
        <is>
          <t>PGE</t>
        </is>
      </c>
      <c r="H55">
        <f>IFERROR(INDEX(Categories!$A$5:$A$93,MATCH(G55,Categories!$B$5:$B$93,0)),"")</f>
        <v/>
      </c>
      <c r="I55" s="9" t="inlineStr">
        <is>
          <t>H</t>
        </is>
      </c>
      <c r="J55" s="9" t="inlineStr"/>
    </row>
    <row r="56">
      <c r="A56" s="9" t="inlineStr">
        <is>
          <t>Checking ...0861</t>
        </is>
      </c>
      <c r="B56" s="29" t="n">
        <v>46259</v>
      </c>
      <c r="C56" s="9" t="inlineStr">
        <is>
          <t>Online Payment 30543871137 To ALA 0908 08/25</t>
        </is>
      </c>
      <c r="D56" s="10" t="n">
        <v>-706.36</v>
      </c>
      <c r="E56" s="9" t="inlineStr">
        <is>
          <t>LOAN_PMT</t>
        </is>
      </c>
      <c r="F56" s="10" t="n">
        <v>784.39</v>
      </c>
      <c r="G56" s="9" t="inlineStr">
        <is>
          <t>Others</t>
        </is>
      </c>
      <c r="H56">
        <f>IFERROR(INDEX(Categories!$A$5:$A$93,MATCH(G56,Categories!$B$5:$B$93,0)),"")</f>
        <v/>
      </c>
      <c r="I56" s="9" t="inlineStr">
        <is>
          <t>R</t>
        </is>
      </c>
      <c r="J56" s="9" t="inlineStr">
        <is>
          <t>Recurring $706.36/month loan-type payment to 'ALA 0908' - please tell me what this is so I can give it the right category</t>
        </is>
      </c>
    </row>
    <row r="57">
      <c r="A57" s="9" t="inlineStr">
        <is>
          <t>Checking ...0861</t>
        </is>
      </c>
      <c r="B57" s="29" t="n">
        <v>46259</v>
      </c>
      <c r="C57" s="9" t="inlineStr">
        <is>
          <t>PAYPAL           PURCHASE   GOOGLE YESOULFI WEB ID: PAYPALSI77</t>
        </is>
      </c>
      <c r="D57" s="10" t="n">
        <v>-13.99</v>
      </c>
      <c r="E57" s="9" t="inlineStr">
        <is>
          <t>ACH_DEBIT</t>
        </is>
      </c>
      <c r="F57" s="10" t="n">
        <v>1490.75</v>
      </c>
      <c r="G57" s="9" t="inlineStr">
        <is>
          <t>Yesoulfitness</t>
        </is>
      </c>
      <c r="H57">
        <f>IFERROR(INDEX(Categories!$A$5:$A$93,MATCH(G57,Categories!$B$5:$B$93,0)),"")</f>
        <v/>
      </c>
      <c r="I57" s="9" t="inlineStr">
        <is>
          <t>H</t>
        </is>
      </c>
      <c r="J57" s="9" t="inlineStr"/>
    </row>
    <row r="58">
      <c r="A58" s="9" t="inlineStr">
        <is>
          <t>Checking ...0861</t>
        </is>
      </c>
      <c r="B58" s="29" t="n">
        <v>46259</v>
      </c>
      <c r="C58" s="9" t="inlineStr">
        <is>
          <t>VERIZON WIRELESS PAYMENTS                   PPD ID: 4223344794</t>
        </is>
      </c>
      <c r="D58" s="10" t="n">
        <v>-408.35</v>
      </c>
      <c r="E58" s="9" t="inlineStr">
        <is>
          <t>MISC_DEBIT</t>
        </is>
      </c>
      <c r="F58" s="10" t="n">
        <v>1504.74</v>
      </c>
      <c r="G58" s="9" t="inlineStr">
        <is>
          <t>Verizon</t>
        </is>
      </c>
      <c r="H58">
        <f>IFERROR(INDEX(Categories!$A$5:$A$93,MATCH(G58,Categories!$B$5:$B$93,0)),"")</f>
        <v/>
      </c>
      <c r="I58" s="9" t="inlineStr">
        <is>
          <t>H</t>
        </is>
      </c>
      <c r="J58" s="9" t="inlineStr"/>
    </row>
    <row r="59">
      <c r="A59" s="9" t="inlineStr">
        <is>
          <t>Checking ...0861</t>
        </is>
      </c>
      <c r="B59" s="29" t="n">
        <v>46259</v>
      </c>
      <c r="C59" s="9" t="inlineStr">
        <is>
          <t>AMAZON MARKETPLA INTERNET   043000099391278 WEB ID: 9049016352</t>
        </is>
      </c>
      <c r="D59" s="10" t="n">
        <v>-31.92</v>
      </c>
      <c r="E59" s="9" t="inlineStr">
        <is>
          <t>ACH_DEBIT</t>
        </is>
      </c>
      <c r="F59" s="10" t="n">
        <v>1913.09</v>
      </c>
      <c r="G59" s="9" t="inlineStr">
        <is>
          <t>Shop - Amazon</t>
        </is>
      </c>
      <c r="H59">
        <f>IFERROR(INDEX(Categories!$A$5:$A$93,MATCH(G59,Categories!$B$5:$B$93,0)),"")</f>
        <v/>
      </c>
      <c r="I59" s="9" t="inlineStr">
        <is>
          <t>H</t>
        </is>
      </c>
      <c r="J59" s="9" t="inlineStr"/>
    </row>
    <row r="60">
      <c r="A60" s="9" t="inlineStr">
        <is>
          <t>Checking ...0861</t>
        </is>
      </c>
      <c r="B60" s="29" t="n">
        <v>46259</v>
      </c>
      <c r="C60" s="9" t="inlineStr">
        <is>
          <t>AMAZON MARKETPLA INTERNET   043000099063796 WEB ID: 9049016352</t>
        </is>
      </c>
      <c r="D60" s="10" t="n">
        <v>-115.95</v>
      </c>
      <c r="E60" s="9" t="inlineStr">
        <is>
          <t>ACH_DEBIT</t>
        </is>
      </c>
      <c r="F60" s="10" t="n">
        <v>1945.01</v>
      </c>
      <c r="G60" s="9" t="inlineStr">
        <is>
          <t>Shop - Amazon</t>
        </is>
      </c>
      <c r="H60">
        <f>IFERROR(INDEX(Categories!$A$5:$A$93,MATCH(G60,Categories!$B$5:$B$93,0)),"")</f>
        <v/>
      </c>
      <c r="I60" s="9" t="inlineStr">
        <is>
          <t>H</t>
        </is>
      </c>
      <c r="J60" s="9" t="inlineStr"/>
    </row>
    <row r="61">
      <c r="A61" s="9" t="inlineStr">
        <is>
          <t>Checking ...0861</t>
        </is>
      </c>
      <c r="B61" s="29" t="n">
        <v>46259</v>
      </c>
      <c r="C61" s="9" t="inlineStr">
        <is>
          <t>AMAZON.COM SERVI INTERNET   043000098650384 WEB ID: 9049016352</t>
        </is>
      </c>
      <c r="D61" s="10" t="n">
        <v>-174.79</v>
      </c>
      <c r="E61" s="9" t="inlineStr">
        <is>
          <t>ACH_DEBIT</t>
        </is>
      </c>
      <c r="F61" s="10" t="n">
        <v>2060.96</v>
      </c>
      <c r="G61" s="9" t="inlineStr">
        <is>
          <t>Shop - Amazon</t>
        </is>
      </c>
      <c r="H61">
        <f>IFERROR(INDEX(Categories!$A$5:$A$93,MATCH(G61,Categories!$B$5:$B$93,0)),"")</f>
        <v/>
      </c>
      <c r="I61" s="9" t="inlineStr">
        <is>
          <t>H</t>
        </is>
      </c>
      <c r="J61" s="9" t="inlineStr"/>
    </row>
    <row r="62">
      <c r="A62" s="9" t="inlineStr">
        <is>
          <t>Checking ...0861</t>
        </is>
      </c>
      <c r="B62" s="29" t="n">
        <v>46259</v>
      </c>
      <c r="C62" s="9" t="inlineStr">
        <is>
          <t>SP+AFF * WRXDAILY 855-423-3729 CA            08/25</t>
        </is>
      </c>
      <c r="D62" s="10" t="n">
        <v>-220.95</v>
      </c>
      <c r="E62" s="9" t="inlineStr">
        <is>
          <t>DEBIT_CARD</t>
        </is>
      </c>
      <c r="F62" s="10" t="n">
        <v>2235.75</v>
      </c>
      <c r="G62" s="9" t="inlineStr">
        <is>
          <t>Shop - Others</t>
        </is>
      </c>
      <c r="H62">
        <f>IFERROR(INDEX(Categories!$A$5:$A$93,MATCH(G62,Categories!$B$5:$B$93,0)),"")</f>
        <v/>
      </c>
      <c r="I62" s="9" t="inlineStr">
        <is>
          <t>R</t>
        </is>
      </c>
      <c r="J62" s="9" t="inlineStr">
        <is>
          <t>Small online-shop charge via an affiliate/Affirm-style processor - description doesn't name the actual store</t>
        </is>
      </c>
    </row>
    <row r="63">
      <c r="A63" s="9" t="inlineStr">
        <is>
          <t>Checking ...0861</t>
        </is>
      </c>
      <c r="B63" s="29" t="n">
        <v>46259</v>
      </c>
      <c r="C63" s="9" t="inlineStr">
        <is>
          <t>SQ *NO. 1 BOBA TEA SOCI Henderson NV         08/24</t>
        </is>
      </c>
      <c r="D63" s="10" t="n">
        <v>-8.859999999999999</v>
      </c>
      <c r="E63" s="9" t="inlineStr">
        <is>
          <t>DEBIT_CARD</t>
        </is>
      </c>
      <c r="F63" s="10" t="n">
        <v>2456.7</v>
      </c>
      <c r="G63" s="9" t="inlineStr">
        <is>
          <t>Food - Eat Out</t>
        </is>
      </c>
      <c r="H63">
        <f>IFERROR(INDEX(Categories!$A$5:$A$93,MATCH(G63,Categories!$B$5:$B$93,0)),"")</f>
        <v/>
      </c>
      <c r="I63" s="9" t="inlineStr">
        <is>
          <t>D</t>
        </is>
      </c>
      <c r="J63" s="9" t="inlineStr">
        <is>
          <t>Restaurant/fast-food - defaulted to Eat Out; move to Food - Ailynn/Chris/Misc if you know whose order it was</t>
        </is>
      </c>
    </row>
    <row r="64">
      <c r="A64" s="9" t="inlineStr">
        <is>
          <t>Checking ...0861</t>
        </is>
      </c>
      <c r="B64" s="29" t="n">
        <v>46259</v>
      </c>
      <c r="C64" s="9" t="inlineStr">
        <is>
          <t>SQ *NO. 1 BOBA TEA SOCI Henderson NV         08/24</t>
        </is>
      </c>
      <c r="D64" s="10" t="n">
        <v>-27.47</v>
      </c>
      <c r="E64" s="9" t="inlineStr">
        <is>
          <t>DEBIT_CARD</t>
        </is>
      </c>
      <c r="F64" s="10" t="n">
        <v>2465.56</v>
      </c>
      <c r="G64" s="9" t="inlineStr">
        <is>
          <t>Food - Eat Out</t>
        </is>
      </c>
      <c r="H64">
        <f>IFERROR(INDEX(Categories!$A$5:$A$93,MATCH(G64,Categories!$B$5:$B$93,0)),"")</f>
        <v/>
      </c>
      <c r="I64" s="9" t="inlineStr">
        <is>
          <t>D</t>
        </is>
      </c>
      <c r="J64" s="9" t="inlineStr">
        <is>
          <t>Restaurant/fast-food - defaulted to Eat Out; move to Food - Ailynn/Chris/Misc if you know whose order it was</t>
        </is>
      </c>
    </row>
    <row r="65">
      <c r="A65" s="9" t="inlineStr">
        <is>
          <t>Checking ...0861</t>
        </is>
      </c>
      <c r="B65" s="29" t="n">
        <v>46259</v>
      </c>
      <c r="C65" s="9" t="inlineStr">
        <is>
          <t>Taptap Send New York NY                      08/24</t>
        </is>
      </c>
      <c r="D65" s="10" t="n">
        <v>-22</v>
      </c>
      <c r="E65" s="9" t="inlineStr">
        <is>
          <t>DEBIT_CARD</t>
        </is>
      </c>
      <c r="F65" s="10" t="n">
        <v>2493.03</v>
      </c>
      <c r="G65" s="9" t="inlineStr">
        <is>
          <t>Remittance - others</t>
        </is>
      </c>
      <c r="H65">
        <f>IFERROR(INDEX(Categories!$A$5:$A$93,MATCH(G65,Categories!$B$5:$B$93,0)),"")</f>
        <v/>
      </c>
      <c r="I65" s="9" t="inlineStr">
        <is>
          <t>R</t>
        </is>
      </c>
      <c r="J65" s="9" t="inlineStr">
        <is>
          <t>Remittance app transfer - recipient not shown; please tell me if this is Aron, Aron's tuition, or someone else</t>
        </is>
      </c>
    </row>
    <row r="66">
      <c r="A66" s="9" t="inlineStr">
        <is>
          <t>Checking ...0861</t>
        </is>
      </c>
      <c r="B66" s="29" t="n">
        <v>46259</v>
      </c>
      <c r="C66" s="9" t="inlineStr">
        <is>
          <t>TST*FOX SMOKEHOUSE BB Boulder City NV        08/23</t>
        </is>
      </c>
      <c r="D66" s="10" t="n">
        <v>-90.33</v>
      </c>
      <c r="E66" s="9" t="inlineStr">
        <is>
          <t>DEBIT_CARD</t>
        </is>
      </c>
      <c r="F66" s="10" t="n">
        <v>2515.03</v>
      </c>
      <c r="G66" s="9" t="inlineStr">
        <is>
          <t>Food - Eat Out</t>
        </is>
      </c>
      <c r="H66">
        <f>IFERROR(INDEX(Categories!$A$5:$A$93,MATCH(G66,Categories!$B$5:$B$93,0)),"")</f>
        <v/>
      </c>
      <c r="I66" s="9" t="inlineStr">
        <is>
          <t>D</t>
        </is>
      </c>
      <c r="J66" s="9" t="inlineStr"/>
    </row>
    <row r="67">
      <c r="A67" s="9" t="inlineStr">
        <is>
          <t>Checking ...0861</t>
        </is>
      </c>
      <c r="B67" s="29" t="n">
        <v>46259</v>
      </c>
      <c r="C67" s="9" t="inlineStr">
        <is>
          <t>Zelle payment from Katrina T Perez USBPFXMsz6zJ</t>
        </is>
      </c>
      <c r="D67" s="10" t="n">
        <v>50</v>
      </c>
      <c r="E67" s="9" t="inlineStr">
        <is>
          <t>PARTNERFI_TO_CHASE</t>
        </is>
      </c>
      <c r="F67" s="10" t="n">
        <v>2605.36</v>
      </c>
      <c r="G67" s="9" t="inlineStr">
        <is>
          <t>Others - Income</t>
        </is>
      </c>
      <c r="H67">
        <f>IFERROR(INDEX(Categories!$A$5:$A$93,MATCH(G67,Categories!$B$5:$B$93,0)),"")</f>
        <v/>
      </c>
      <c r="I67" s="9" t="inlineStr">
        <is>
          <t>R</t>
        </is>
      </c>
      <c r="J67" s="9" t="inlineStr">
        <is>
          <t>Zelle received - please tell me who this person is so I can map them to a category</t>
        </is>
      </c>
    </row>
    <row r="68">
      <c r="A68" s="9" t="inlineStr">
        <is>
          <t>Checking ...0861</t>
        </is>
      </c>
      <c r="B68" s="29" t="n">
        <v>46258</v>
      </c>
      <c r="C68" s="9" t="inlineStr">
        <is>
          <t>ATM WITHDRAWAL                       000184  08/24605 MARKS</t>
        </is>
      </c>
      <c r="D68" s="10" t="n">
        <v>-1000</v>
      </c>
      <c r="E68" s="9" t="inlineStr">
        <is>
          <t>ATM</t>
        </is>
      </c>
      <c r="F68" s="10" t="n">
        <v>2555.36</v>
      </c>
      <c r="G68" s="9" t="inlineStr">
        <is>
          <t>Others</t>
        </is>
      </c>
      <c r="H68">
        <f>IFERROR(INDEX(Categories!$A$5:$A$93,MATCH(G68,Categories!$B$5:$B$93,0)),"")</f>
        <v/>
      </c>
      <c r="I68" s="9" t="inlineStr">
        <is>
          <t>H</t>
        </is>
      </c>
      <c r="J68" s="9" t="inlineStr">
        <is>
          <t>ATM cash withdrawal - cash spend is untracked after this point</t>
        </is>
      </c>
    </row>
    <row r="69">
      <c r="A69" s="9" t="inlineStr">
        <is>
          <t>Checking ...0861</t>
        </is>
      </c>
      <c r="B69" s="29" t="n">
        <v>46258</v>
      </c>
      <c r="C69" s="9" t="inlineStr">
        <is>
          <t>Online Transfer to  SAV ...5953 transaction#: 30404182300</t>
        </is>
      </c>
      <c r="D69" s="10" t="n">
        <v>-25</v>
      </c>
      <c r="E69" s="9" t="inlineStr">
        <is>
          <t>ACCT_XFER</t>
        </is>
      </c>
      <c r="F69" s="10" t="n">
        <v>3555.36</v>
      </c>
      <c r="G69" s="9" t="inlineStr">
        <is>
          <t>Transfer - Checking to Savings</t>
        </is>
      </c>
      <c r="H69">
        <f>IFERROR(INDEX(Categories!$A$5:$A$93,MATCH(G69,Categories!$B$5:$B$93,0)),"")</f>
        <v/>
      </c>
      <c r="I69" s="9" t="inlineStr">
        <is>
          <t>H</t>
        </is>
      </c>
      <c r="J69" s="9" t="inlineStr"/>
    </row>
    <row r="70">
      <c r="A70" s="9" t="inlineStr">
        <is>
          <t>Checking ...0861</t>
        </is>
      </c>
      <c r="B70" s="29" t="n">
        <v>46258</v>
      </c>
      <c r="C70" s="9" t="inlineStr">
        <is>
          <t>PAYPAL           PURCHASE   GOOGLE SOLMA GR WEB ID: PAYPALSI77</t>
        </is>
      </c>
      <c r="D70" s="10" t="n">
        <v>-39.99</v>
      </c>
      <c r="E70" s="9" t="inlineStr">
        <is>
          <t>ACH_DEBIT</t>
        </is>
      </c>
      <c r="F70" s="10" t="n">
        <v>3580.36</v>
      </c>
      <c r="G70" s="9" t="inlineStr">
        <is>
          <t>Others</t>
        </is>
      </c>
      <c r="H70">
        <f>IFERROR(INDEX(Categories!$A$5:$A$93,MATCH(G70,Categories!$B$5:$B$93,0)),"")</f>
        <v/>
      </c>
      <c r="I70" s="9" t="inlineStr">
        <is>
          <t>R</t>
        </is>
      </c>
      <c r="J70" s="9" t="inlineStr">
        <is>
          <t>Subscription/purchase via PayPal (Apple, Etsy, Google apps, Lyft, AARP, etc.) - no matching category</t>
        </is>
      </c>
    </row>
    <row r="71">
      <c r="A71" s="9" t="inlineStr">
        <is>
          <t>Checking ...0861</t>
        </is>
      </c>
      <c r="B71" s="29" t="n">
        <v>46258</v>
      </c>
      <c r="C71" s="9" t="inlineStr">
        <is>
          <t>LOWE'S #1537 HENDERSON NV            536313  08/23</t>
        </is>
      </c>
      <c r="D71" s="10" t="n">
        <v>-67.65000000000001</v>
      </c>
      <c r="E71" s="9" t="inlineStr">
        <is>
          <t>DEBIT_CARD</t>
        </is>
      </c>
      <c r="F71" s="10" t="n">
        <v>3620.35</v>
      </c>
      <c r="G71" s="9" t="inlineStr">
        <is>
          <t>Others</t>
        </is>
      </c>
      <c r="H71">
        <f>IFERROR(INDEX(Categories!$A$5:$A$93,MATCH(G71,Categories!$B$5:$B$93,0)),"")</f>
        <v/>
      </c>
      <c r="I71" s="9" t="inlineStr">
        <is>
          <t>D</t>
        </is>
      </c>
      <c r="J71" s="9" t="inlineStr">
        <is>
          <t>Home-improvement store - no matching category in your list</t>
        </is>
      </c>
    </row>
    <row r="72">
      <c r="A72" s="9" t="inlineStr">
        <is>
          <t>Checking ...0861</t>
        </is>
      </c>
      <c r="B72" s="29" t="n">
        <v>46258</v>
      </c>
      <c r="C72" s="9" t="inlineStr">
        <is>
          <t>ATM WITHDRAWAL                       003724  08/23220 E LAK</t>
        </is>
      </c>
      <c r="D72" s="10" t="n">
        <v>-1000</v>
      </c>
      <c r="E72" s="9" t="inlineStr">
        <is>
          <t>ATM</t>
        </is>
      </c>
      <c r="F72" s="10" t="n">
        <v>3688</v>
      </c>
      <c r="G72" s="9" t="inlineStr">
        <is>
          <t>Others</t>
        </is>
      </c>
      <c r="H72">
        <f>IFERROR(INDEX(Categories!$A$5:$A$93,MATCH(G72,Categories!$B$5:$B$93,0)),"")</f>
        <v/>
      </c>
      <c r="I72" s="9" t="inlineStr">
        <is>
          <t>H</t>
        </is>
      </c>
      <c r="J72" s="9" t="inlineStr">
        <is>
          <t>ATM cash withdrawal - cash spend is untracked after this point</t>
        </is>
      </c>
    </row>
    <row r="73">
      <c r="A73" s="9" t="inlineStr">
        <is>
          <t>Checking ...0861</t>
        </is>
      </c>
      <c r="B73" s="29" t="n">
        <v>46258</v>
      </c>
      <c r="C73" s="9" t="inlineStr">
        <is>
          <t>WM SUPERCENTER #2050 HENDERSON NV            08/23</t>
        </is>
      </c>
      <c r="D73" s="10" t="n">
        <v>-143.93</v>
      </c>
      <c r="E73" s="9" t="inlineStr">
        <is>
          <t>DEBIT_CARD</t>
        </is>
      </c>
      <c r="F73" s="10" t="n">
        <v>4688</v>
      </c>
      <c r="G73" s="9" t="inlineStr">
        <is>
          <t>Groceries - Walmart</t>
        </is>
      </c>
      <c r="H73">
        <f>IFERROR(INDEX(Categories!$A$5:$A$93,MATCH(G73,Categories!$B$5:$B$93,0)),"")</f>
        <v/>
      </c>
      <c r="I73" s="9" t="inlineStr">
        <is>
          <t>H</t>
        </is>
      </c>
      <c r="J73" s="9" t="inlineStr"/>
    </row>
    <row r="74">
      <c r="A74" s="9" t="inlineStr">
        <is>
          <t>Checking ...0861</t>
        </is>
      </c>
      <c r="B74" s="29" t="n">
        <v>46258</v>
      </c>
      <c r="C74" s="9" t="inlineStr">
        <is>
          <t>SMITHS #4331 HENDERSON NV                    08/23</t>
        </is>
      </c>
      <c r="D74" s="10" t="n">
        <v>-119.33</v>
      </c>
      <c r="E74" s="9" t="inlineStr">
        <is>
          <t>DEBIT_CARD</t>
        </is>
      </c>
      <c r="F74" s="10" t="n">
        <v>4831.93</v>
      </c>
      <c r="G74" s="9" t="inlineStr">
        <is>
          <t>Others</t>
        </is>
      </c>
      <c r="H74">
        <f>IFERROR(INDEX(Categories!$A$5:$A$93,MATCH(G74,Categories!$B$5:$B$93,0)),"")</f>
        <v/>
      </c>
      <c r="I74" s="9" t="inlineStr">
        <is>
          <t>R</t>
        </is>
      </c>
      <c r="J74" s="9" t="inlineStr">
        <is>
          <t>Unrecognized charge - please tell me what this is</t>
        </is>
      </c>
    </row>
    <row r="75">
      <c r="A75" s="9" t="inlineStr">
        <is>
          <t>Checking ...0861</t>
        </is>
      </c>
      <c r="B75" s="29" t="n">
        <v>46258</v>
      </c>
      <c r="C75" s="9" t="inlineStr">
        <is>
          <t>GIV*FIRST PRESBY 831-4227811 CA              08/23</t>
        </is>
      </c>
      <c r="D75" s="10" t="n">
        <v>-20</v>
      </c>
      <c r="E75" s="9" t="inlineStr">
        <is>
          <t>DEBIT_CARD</t>
        </is>
      </c>
      <c r="F75" s="10" t="n">
        <v>4951.26</v>
      </c>
      <c r="G75" s="9" t="inlineStr">
        <is>
          <t>Others</t>
        </is>
      </c>
      <c r="H75">
        <f>IFERROR(INDEX(Categories!$A$5:$A$93,MATCH(G75,Categories!$B$5:$B$93,0)),"")</f>
        <v/>
      </c>
      <c r="I75" s="9" t="inlineStr">
        <is>
          <t>H</t>
        </is>
      </c>
      <c r="J75" s="9" t="inlineStr">
        <is>
          <t>Recurring $20 church/charitable giving - no matching category in your list, put under Others</t>
        </is>
      </c>
    </row>
    <row r="76">
      <c r="A76" s="9" t="inlineStr">
        <is>
          <t>Checking ...0861</t>
        </is>
      </c>
      <c r="B76" s="29" t="n">
        <v>46258</v>
      </c>
      <c r="C76" s="9" t="inlineStr">
        <is>
          <t>GOOGLE *Life360 Famil 855-836-3987 CA        08/23</t>
        </is>
      </c>
      <c r="D76" s="10" t="n">
        <v>-13.79</v>
      </c>
      <c r="E76" s="9" t="inlineStr">
        <is>
          <t>DEBIT_CARD</t>
        </is>
      </c>
      <c r="F76" s="10" t="n">
        <v>4971.26</v>
      </c>
      <c r="G76" s="9" t="inlineStr">
        <is>
          <t>Life 360</t>
        </is>
      </c>
      <c r="H76">
        <f>IFERROR(INDEX(Categories!$A$5:$A$93,MATCH(G76,Categories!$B$5:$B$93,0)),"")</f>
        <v/>
      </c>
      <c r="I76" s="9" t="inlineStr">
        <is>
          <t>H</t>
        </is>
      </c>
      <c r="J76" s="9" t="inlineStr"/>
    </row>
    <row r="77">
      <c r="A77" s="9" t="inlineStr">
        <is>
          <t>Checking ...0861</t>
        </is>
      </c>
      <c r="B77" s="29" t="n">
        <v>46258</v>
      </c>
      <c r="C77" s="9" t="inlineStr">
        <is>
          <t>SFC LAS VEGAS - MARYLA LAS VEGAS NV  471583  08/22</t>
        </is>
      </c>
      <c r="D77" s="10" t="n">
        <v>-110.22</v>
      </c>
      <c r="E77" s="9" t="inlineStr">
        <is>
          <t>DEBIT_CARD</t>
        </is>
      </c>
      <c r="F77" s="10" t="n">
        <v>4985.05</v>
      </c>
      <c r="G77" s="9" t="inlineStr">
        <is>
          <t>Vacation</t>
        </is>
      </c>
      <c r="H77">
        <f>IFERROR(INDEX(Categories!$A$5:$A$93,MATCH(G77,Categories!$B$5:$B$93,0)),"")</f>
        <v/>
      </c>
      <c r="I77" s="9" t="inlineStr">
        <is>
          <t>D</t>
        </is>
      </c>
      <c r="J77" s="9" t="inlineStr">
        <is>
          <t>Hotel/travel-city charge, looks like part of a trip</t>
        </is>
      </c>
    </row>
    <row r="78">
      <c r="A78" s="9" t="inlineStr">
        <is>
          <t>Checking ...0861</t>
        </is>
      </c>
      <c r="B78" s="29" t="n">
        <v>46258</v>
      </c>
      <c r="C78" s="9" t="inlineStr">
        <is>
          <t>Zelle payment to RHIAN ALMO 30517082075</t>
        </is>
      </c>
      <c r="D78" s="10" t="n">
        <v>-28</v>
      </c>
      <c r="E78" s="9" t="inlineStr">
        <is>
          <t>QUICKPAY_DEBIT</t>
        </is>
      </c>
      <c r="F78" s="10" t="n">
        <v>5095.27</v>
      </c>
      <c r="G78" s="9" t="inlineStr">
        <is>
          <t>Others</t>
        </is>
      </c>
      <c r="H78">
        <f>IFERROR(INDEX(Categories!$A$5:$A$93,MATCH(G78,Categories!$B$5:$B$93,0)),"")</f>
        <v/>
      </c>
      <c r="I78" s="9" t="inlineStr">
        <is>
          <t>R</t>
        </is>
      </c>
      <c r="J78" s="9" t="inlineStr">
        <is>
          <t>Zelle sent - please tell me who this person is so I can map them to a category</t>
        </is>
      </c>
    </row>
    <row r="79">
      <c r="A79" s="9" t="inlineStr">
        <is>
          <t>Checking ...0861</t>
        </is>
      </c>
      <c r="B79" s="29" t="n">
        <v>46258</v>
      </c>
      <c r="C79" s="9" t="inlineStr">
        <is>
          <t>DD *DOORDASH JOLLIBEE 855-431-0459 CA        08/24</t>
        </is>
      </c>
      <c r="D79" s="10" t="n">
        <v>-53.09</v>
      </c>
      <c r="E79" s="9" t="inlineStr">
        <is>
          <t>DEBIT_CARD</t>
        </is>
      </c>
      <c r="F79" s="10" t="n">
        <v>5123.27</v>
      </c>
      <c r="G79" s="9" t="inlineStr">
        <is>
          <t>Food - To go</t>
        </is>
      </c>
      <c r="H79">
        <f>IFERROR(INDEX(Categories!$A$5:$A$93,MATCH(G79,Categories!$B$5:$B$93,0)),"")</f>
        <v/>
      </c>
      <c r="I79" s="9" t="inlineStr">
        <is>
          <t>H</t>
        </is>
      </c>
      <c r="J79" s="9" t="inlineStr"/>
    </row>
    <row r="80">
      <c r="A80" s="9" t="inlineStr">
        <is>
          <t>Checking ...0861</t>
        </is>
      </c>
      <c r="B80" s="29" t="n">
        <v>46258</v>
      </c>
      <c r="C80" s="9" t="inlineStr">
        <is>
          <t>DD *DOORDASH THEMELTD 855-431-0459 CA        08/22</t>
        </is>
      </c>
      <c r="D80" s="10" t="n">
        <v>-41.49</v>
      </c>
      <c r="E80" s="9" t="inlineStr">
        <is>
          <t>DEBIT_CARD</t>
        </is>
      </c>
      <c r="F80" s="10" t="n">
        <v>5176.36</v>
      </c>
      <c r="G80" s="9" t="inlineStr">
        <is>
          <t>Food - To go</t>
        </is>
      </c>
      <c r="H80">
        <f>IFERROR(INDEX(Categories!$A$5:$A$93,MATCH(G80,Categories!$B$5:$B$93,0)),"")</f>
        <v/>
      </c>
      <c r="I80" s="9" t="inlineStr">
        <is>
          <t>H</t>
        </is>
      </c>
      <c r="J80" s="9" t="inlineStr"/>
    </row>
    <row r="81">
      <c r="A81" s="9" t="inlineStr">
        <is>
          <t>Checking ...0861</t>
        </is>
      </c>
      <c r="B81" s="29" t="n">
        <v>46258</v>
      </c>
      <c r="C81" s="9" t="inlineStr">
        <is>
          <t>PAYPAL           TRANSFER                   PPD ID: PAYPALSD11</t>
        </is>
      </c>
      <c r="D81" s="10" t="n">
        <v>2000</v>
      </c>
      <c r="E81" s="9" t="inlineStr">
        <is>
          <t>ACH_CREDIT</t>
        </is>
      </c>
      <c r="F81" s="10" t="n">
        <v>5217.85</v>
      </c>
      <c r="G81" s="9" t="inlineStr">
        <is>
          <t>Transfer - PayPal to Checking</t>
        </is>
      </c>
      <c r="H81">
        <f>IFERROR(INDEX(Categories!$A$5:$A$93,MATCH(G81,Categories!$B$5:$B$93,0)),"")</f>
        <v/>
      </c>
      <c r="I81" s="9" t="inlineStr">
        <is>
          <t>H</t>
        </is>
      </c>
      <c r="J81" s="9" t="inlineStr"/>
    </row>
    <row r="82">
      <c r="A82" s="9" t="inlineStr">
        <is>
          <t>Checking ...0861</t>
        </is>
      </c>
      <c r="B82" s="29" t="n">
        <v>46255</v>
      </c>
      <c r="C82" s="9" t="inlineStr">
        <is>
          <t>PAYPAL           TRANSFER   ADD TO BALANCE  WEB ID: PAYPALSD22</t>
        </is>
      </c>
      <c r="D82" s="10" t="n">
        <v>-50</v>
      </c>
      <c r="E82" s="9" t="inlineStr">
        <is>
          <t>ACH_DEBIT</t>
        </is>
      </c>
      <c r="F82" s="10" t="n">
        <v>3217.85</v>
      </c>
      <c r="G82" s="9" t="inlineStr">
        <is>
          <t>Transfer - Checking to PayPal</t>
        </is>
      </c>
      <c r="H82">
        <f>IFERROR(INDEX(Categories!$A$5:$A$93,MATCH(G82,Categories!$B$5:$B$93,0)),"")</f>
        <v/>
      </c>
      <c r="I82" s="9" t="inlineStr">
        <is>
          <t>H</t>
        </is>
      </c>
      <c r="J82" s="9" t="inlineStr"/>
    </row>
    <row r="83">
      <c r="A83" s="9" t="inlineStr">
        <is>
          <t>Checking ...0861</t>
        </is>
      </c>
      <c r="B83" s="29" t="n">
        <v>46255</v>
      </c>
      <c r="C83" s="9" t="inlineStr">
        <is>
          <t>AFFIRM.COM PAYME AFFIRM.COM ST-Y5W5C2J2R0J6 WEB ID: 4270465600</t>
        </is>
      </c>
      <c r="D83" s="10" t="n">
        <v>-141.09</v>
      </c>
      <c r="E83" s="9" t="inlineStr">
        <is>
          <t>ACH_DEBIT</t>
        </is>
      </c>
      <c r="F83" s="10" t="n">
        <v>3267.85</v>
      </c>
      <c r="G83" s="9" t="inlineStr">
        <is>
          <t>Affirm</t>
        </is>
      </c>
      <c r="H83">
        <f>IFERROR(INDEX(Categories!$A$5:$A$93,MATCH(G83,Categories!$B$5:$B$93,0)),"")</f>
        <v/>
      </c>
      <c r="I83" s="9" t="inlineStr">
        <is>
          <t>H</t>
        </is>
      </c>
      <c r="J83" s="9" t="inlineStr"/>
    </row>
    <row r="84">
      <c r="A84" s="9" t="inlineStr">
        <is>
          <t>Checking ...0861</t>
        </is>
      </c>
      <c r="B84" s="29" t="n">
        <v>46255</v>
      </c>
      <c r="C84" s="9" t="inlineStr">
        <is>
          <t>VENMO            PAYMENT    1052493804751   WEB ID: 3264681992</t>
        </is>
      </c>
      <c r="D84" s="10" t="n">
        <v>-350</v>
      </c>
      <c r="E84" s="9" t="inlineStr">
        <is>
          <t>MISC_DEBIT</t>
        </is>
      </c>
      <c r="F84" s="10" t="n">
        <v>3408.94</v>
      </c>
      <c r="G84" s="9" t="inlineStr">
        <is>
          <t>Others</t>
        </is>
      </c>
      <c r="H84">
        <f>IFERROR(INDEX(Categories!$A$5:$A$93,MATCH(G84,Categories!$B$5:$B$93,0)),"")</f>
        <v/>
      </c>
      <c r="I84" s="9" t="inlineStr">
        <is>
          <t>R</t>
        </is>
      </c>
      <c r="J84" s="9" t="inlineStr">
        <is>
          <t>Rideshare or Venmo payment - no matching category, and Venmo recipient is unclear</t>
        </is>
      </c>
    </row>
    <row r="85">
      <c r="A85" s="9" t="inlineStr">
        <is>
          <t>Checking ...0861</t>
        </is>
      </c>
      <c r="B85" s="29" t="n">
        <v>46255</v>
      </c>
      <c r="C85" s="9" t="inlineStr">
        <is>
          <t>EBAY COMMERCE INC. SAN JOSE CA               08/21</t>
        </is>
      </c>
      <c r="D85" s="10" t="n">
        <v>-35.75</v>
      </c>
      <c r="E85" s="9" t="inlineStr">
        <is>
          <t>DEBIT_CARD</t>
        </is>
      </c>
      <c r="F85" s="10" t="n">
        <v>3758.94</v>
      </c>
      <c r="G85" s="9" t="inlineStr">
        <is>
          <t>Shop - Others</t>
        </is>
      </c>
      <c r="H85">
        <f>IFERROR(INDEX(Categories!$A$5:$A$93,MATCH(G85,Categories!$B$5:$B$93,0)),"")</f>
        <v/>
      </c>
      <c r="I85" s="9" t="inlineStr">
        <is>
          <t>D</t>
        </is>
      </c>
      <c r="J85" s="9" t="inlineStr"/>
    </row>
    <row r="86">
      <c r="A86" s="9" t="inlineStr">
        <is>
          <t>Checking ...0861</t>
        </is>
      </c>
      <c r="B86" s="29" t="n">
        <v>46255</v>
      </c>
      <c r="C86" s="9" t="inlineStr">
        <is>
          <t>SQ *BOBA BOY Henderson NV                    08/21</t>
        </is>
      </c>
      <c r="D86" s="10" t="n">
        <v>-39.96</v>
      </c>
      <c r="E86" s="9" t="inlineStr">
        <is>
          <t>DEBIT_CARD</t>
        </is>
      </c>
      <c r="F86" s="10" t="n">
        <v>3794.69</v>
      </c>
      <c r="G86" s="9" t="inlineStr">
        <is>
          <t>Food - Eat Out</t>
        </is>
      </c>
      <c r="H86">
        <f>IFERROR(INDEX(Categories!$A$5:$A$93,MATCH(G86,Categories!$B$5:$B$93,0)),"")</f>
        <v/>
      </c>
      <c r="I86" s="9" t="inlineStr">
        <is>
          <t>D</t>
        </is>
      </c>
      <c r="J86" s="9" t="inlineStr">
        <is>
          <t>Restaurant/fast-food - defaulted to Eat Out; move to Food - Ailynn/Chris/Misc if you know whose order it was</t>
        </is>
      </c>
    </row>
    <row r="87">
      <c r="A87" s="9" t="inlineStr">
        <is>
          <t>Checking ...0861</t>
        </is>
      </c>
      <c r="B87" s="29" t="n">
        <v>46255</v>
      </c>
      <c r="C87" s="9" t="inlineStr">
        <is>
          <t>WM SUPERCENTER #3350 LAS VEGAS NV            08/20</t>
        </is>
      </c>
      <c r="D87" s="10" t="n">
        <v>-88.84999999999999</v>
      </c>
      <c r="E87" s="9" t="inlineStr">
        <is>
          <t>DEBIT_CARD</t>
        </is>
      </c>
      <c r="F87" s="10" t="n">
        <v>3834.65</v>
      </c>
      <c r="G87" s="9" t="inlineStr">
        <is>
          <t>Groceries - Walmart</t>
        </is>
      </c>
      <c r="H87">
        <f>IFERROR(INDEX(Categories!$A$5:$A$93,MATCH(G87,Categories!$B$5:$B$93,0)),"")</f>
        <v/>
      </c>
      <c r="I87" s="9" t="inlineStr">
        <is>
          <t>H</t>
        </is>
      </c>
      <c r="J87" s="9" t="inlineStr"/>
    </row>
    <row r="88">
      <c r="A88" s="9" t="inlineStr">
        <is>
          <t>Checking ...0861</t>
        </is>
      </c>
      <c r="B88" s="29" t="n">
        <v>46255</v>
      </c>
      <c r="C88" s="9" t="inlineStr">
        <is>
          <t>MINUTEKEY BOULDER CO                         08/21</t>
        </is>
      </c>
      <c r="D88" s="10" t="n">
        <v>-13.01</v>
      </c>
      <c r="E88" s="9" t="inlineStr">
        <is>
          <t>DEBIT_CARD</t>
        </is>
      </c>
      <c r="F88" s="10" t="n">
        <v>3923.5</v>
      </c>
      <c r="G88" s="9" t="inlineStr">
        <is>
          <t>Others</t>
        </is>
      </c>
      <c r="H88">
        <f>IFERROR(INDEX(Categories!$A$5:$A$93,MATCH(G88,Categories!$B$5:$B$93,0)),"")</f>
        <v/>
      </c>
      <c r="I88" s="9" t="inlineStr">
        <is>
          <t>D</t>
        </is>
      </c>
      <c r="J88" s="9" t="inlineStr">
        <is>
          <t>Home-improvement store - no matching category in your list</t>
        </is>
      </c>
    </row>
    <row r="89">
      <c r="A89" s="9" t="inlineStr">
        <is>
          <t>Checking ...0861</t>
        </is>
      </c>
      <c r="B89" s="29" t="n">
        <v>46255</v>
      </c>
      <c r="C89" s="9" t="inlineStr">
        <is>
          <t>Amazon.com*5A7QZ9UE0 Amzn.com/bill WA        08/20</t>
        </is>
      </c>
      <c r="D89" s="10" t="n">
        <v>-27.08</v>
      </c>
      <c r="E89" s="9" t="inlineStr">
        <is>
          <t>DEBIT_CARD</t>
        </is>
      </c>
      <c r="F89" s="10" t="n">
        <v>3936.51</v>
      </c>
      <c r="G89" s="9" t="inlineStr">
        <is>
          <t>Shop - Amazon</t>
        </is>
      </c>
      <c r="H89">
        <f>IFERROR(INDEX(Categories!$A$5:$A$93,MATCH(G89,Categories!$B$5:$B$93,0)),"")</f>
        <v/>
      </c>
      <c r="I89" s="9" t="inlineStr">
        <is>
          <t>H</t>
        </is>
      </c>
      <c r="J89" s="9" t="inlineStr"/>
    </row>
    <row r="90">
      <c r="A90" s="9" t="inlineStr">
        <is>
          <t>Checking ...0861</t>
        </is>
      </c>
      <c r="B90" s="29" t="n">
        <v>46255</v>
      </c>
      <c r="C90" s="9" t="inlineStr">
        <is>
          <t>LITTLE PAMPANGA HENDERSON NV                 08/20</t>
        </is>
      </c>
      <c r="D90" s="10" t="n">
        <v>-40.07</v>
      </c>
      <c r="E90" s="9" t="inlineStr">
        <is>
          <t>DEBIT_CARD</t>
        </is>
      </c>
      <c r="F90" s="10" t="n">
        <v>3963.59</v>
      </c>
      <c r="G90" s="9" t="inlineStr">
        <is>
          <t>Vacation</t>
        </is>
      </c>
      <c r="H90">
        <f>IFERROR(INDEX(Categories!$A$5:$A$93,MATCH(G90,Categories!$B$5:$B$93,0)),"")</f>
        <v/>
      </c>
      <c r="I90" s="9" t="inlineStr">
        <is>
          <t>D</t>
        </is>
      </c>
      <c r="J90" s="9" t="inlineStr">
        <is>
          <t>Hotel/travel-city charge, looks like part of a trip</t>
        </is>
      </c>
    </row>
    <row r="91">
      <c r="A91" s="9" t="inlineStr">
        <is>
          <t>Checking ...0861</t>
        </is>
      </c>
      <c r="B91" s="29" t="n">
        <v>46255</v>
      </c>
      <c r="C91" s="9" t="inlineStr">
        <is>
          <t>EXXON D &amp; R MKT LOST HILLS CA                08/19</t>
        </is>
      </c>
      <c r="D91" s="10" t="n">
        <v>-41.34</v>
      </c>
      <c r="E91" s="9" t="inlineStr">
        <is>
          <t>DEBIT_CARD</t>
        </is>
      </c>
      <c r="F91" s="10" t="n">
        <v>4003.66</v>
      </c>
      <c r="G91" s="9" t="inlineStr">
        <is>
          <t>Gas</t>
        </is>
      </c>
      <c r="H91">
        <f>IFERROR(INDEX(Categories!$A$5:$A$93,MATCH(G91,Categories!$B$5:$B$93,0)),"")</f>
        <v/>
      </c>
      <c r="I91" s="9" t="inlineStr">
        <is>
          <t>D</t>
        </is>
      </c>
      <c r="J91" s="9" t="inlineStr"/>
    </row>
    <row r="92">
      <c r="A92" s="9" t="inlineStr">
        <is>
          <t>Checking ...0861</t>
        </is>
      </c>
      <c r="B92" s="29" t="n">
        <v>46255</v>
      </c>
      <c r="C92" s="9" t="inlineStr">
        <is>
          <t>Pay in 4 Deposit  - WILLA A HISLE OD (...6737)</t>
        </is>
      </c>
      <c r="D92" s="10" t="n">
        <v>300.8</v>
      </c>
      <c r="E92" s="9" t="inlineStr">
        <is>
          <t>MISC_CREDIT</t>
        </is>
      </c>
      <c r="F92" s="10" t="n">
        <v>4045</v>
      </c>
      <c r="G92" s="9" t="inlineStr">
        <is>
          <t>Others - Income</t>
        </is>
      </c>
      <c r="H92">
        <f>IFERROR(INDEX(Categories!$A$5:$A$93,MATCH(G92,Categories!$B$5:$B$93,0)),"")</f>
        <v/>
      </c>
      <c r="I92" s="9" t="inlineStr">
        <is>
          <t>R</t>
        </is>
      </c>
      <c r="J92" s="9" t="inlineStr">
        <is>
          <t>Unrecognized credit - please tell me the source</t>
        </is>
      </c>
    </row>
    <row r="93">
      <c r="A93" s="9" t="inlineStr">
        <is>
          <t>Checking ...0861</t>
        </is>
      </c>
      <c r="B93" s="29" t="n">
        <v>46255</v>
      </c>
      <c r="C93" s="9" t="inlineStr">
        <is>
          <t>PAYPAL           TRANSFER                   PPD ID: PAYPALSD11</t>
        </is>
      </c>
      <c r="D93" s="10" t="n">
        <v>3000</v>
      </c>
      <c r="E93" s="9" t="inlineStr">
        <is>
          <t>ACH_CREDIT</t>
        </is>
      </c>
      <c r="F93" s="10" t="n">
        <v>3744.2</v>
      </c>
      <c r="G93" s="9" t="inlineStr">
        <is>
          <t>Transfer - PayPal to Checking</t>
        </is>
      </c>
      <c r="H93">
        <f>IFERROR(INDEX(Categories!$A$5:$A$93,MATCH(G93,Categories!$B$5:$B$93,0)),"")</f>
        <v/>
      </c>
      <c r="I93" s="9" t="inlineStr">
        <is>
          <t>H</t>
        </is>
      </c>
      <c r="J93" s="9" t="inlineStr"/>
    </row>
    <row r="94">
      <c r="A94" s="9" t="inlineStr">
        <is>
          <t>Checking ...0861</t>
        </is>
      </c>
      <c r="B94" s="29" t="n">
        <v>46254</v>
      </c>
      <c r="C94" s="9" t="inlineStr">
        <is>
          <t>Zelle payment to 8182015945 JPM99cts4zlb</t>
        </is>
      </c>
      <c r="D94" s="10" t="n">
        <v>-2708</v>
      </c>
      <c r="E94" s="9" t="inlineStr">
        <is>
          <t>CHASE_TO_PARTNERFI</t>
        </is>
      </c>
      <c r="F94" s="10" t="n">
        <v>744.2</v>
      </c>
      <c r="G94" s="9" t="inlineStr">
        <is>
          <t>Others</t>
        </is>
      </c>
      <c r="H94">
        <f>IFERROR(INDEX(Categories!$A$5:$A$93,MATCH(G94,Categories!$B$5:$B$93,0)),"")</f>
        <v/>
      </c>
      <c r="I94" s="9" t="inlineStr">
        <is>
          <t>R</t>
        </is>
      </c>
      <c r="J94" s="9" t="inlineStr">
        <is>
          <t>Zelle sent - please tell me who this person is so I can map them to a category</t>
        </is>
      </c>
    </row>
    <row r="95">
      <c r="A95" s="9" t="inlineStr">
        <is>
          <t>Checking ...0861</t>
        </is>
      </c>
      <c r="B95" s="29" t="n">
        <v>46254</v>
      </c>
      <c r="C95" s="9" t="inlineStr">
        <is>
          <t>Zelle payment to 7864124499 JPM99ctrsj6r</t>
        </is>
      </c>
      <c r="D95" s="10" t="n">
        <v>-800</v>
      </c>
      <c r="E95" s="9" t="inlineStr">
        <is>
          <t>CHASE_TO_PARTNERFI</t>
        </is>
      </c>
      <c r="F95" s="10" t="n">
        <v>3452.2</v>
      </c>
      <c r="G95" s="9" t="inlineStr">
        <is>
          <t>Others</t>
        </is>
      </c>
      <c r="H95">
        <f>IFERROR(INDEX(Categories!$A$5:$A$93,MATCH(G95,Categories!$B$5:$B$93,0)),"")</f>
        <v/>
      </c>
      <c r="I95" s="9" t="inlineStr">
        <is>
          <t>R</t>
        </is>
      </c>
      <c r="J95" s="9" t="inlineStr">
        <is>
          <t>Zelle sent - please tell me who this person is so I can map them to a category</t>
        </is>
      </c>
    </row>
    <row r="96">
      <c r="A96" s="9" t="inlineStr">
        <is>
          <t>Checking ...0861</t>
        </is>
      </c>
      <c r="B96" s="29" t="n">
        <v>46254</v>
      </c>
      <c r="C96" s="9" t="inlineStr">
        <is>
          <t>Ambercup8554962356 185-5496235 NC            08/20</t>
        </is>
      </c>
      <c r="D96" s="10" t="n">
        <v>-15.74</v>
      </c>
      <c r="E96" s="9" t="inlineStr">
        <is>
          <t>DEBIT_CARD</t>
        </is>
      </c>
      <c r="F96" s="10" t="n">
        <v>4252.2</v>
      </c>
      <c r="G96" s="9" t="inlineStr">
        <is>
          <t>Shop - Others</t>
        </is>
      </c>
      <c r="H96">
        <f>IFERROR(INDEX(Categories!$A$5:$A$93,MATCH(G96,Categories!$B$5:$B$93,0)),"")</f>
        <v/>
      </c>
      <c r="I96" s="9" t="inlineStr">
        <is>
          <t>D</t>
        </is>
      </c>
      <c r="J96" s="9" t="inlineStr"/>
    </row>
    <row r="97">
      <c r="A97" s="9" t="inlineStr">
        <is>
          <t>Checking ...0861</t>
        </is>
      </c>
      <c r="B97" s="29" t="n">
        <v>46254</v>
      </c>
      <c r="C97" s="9" t="inlineStr">
        <is>
          <t>Ambercup8554962356 185-5496235 NC            08/20</t>
        </is>
      </c>
      <c r="D97" s="10" t="n">
        <v>-36.99</v>
      </c>
      <c r="E97" s="9" t="inlineStr">
        <is>
          <t>DEBIT_CARD</t>
        </is>
      </c>
      <c r="F97" s="10" t="n">
        <v>4267.94</v>
      </c>
      <c r="G97" s="9" t="inlineStr">
        <is>
          <t>Shop - Others</t>
        </is>
      </c>
      <c r="H97">
        <f>IFERROR(INDEX(Categories!$A$5:$A$93,MATCH(G97,Categories!$B$5:$B$93,0)),"")</f>
        <v/>
      </c>
      <c r="I97" s="9" t="inlineStr">
        <is>
          <t>D</t>
        </is>
      </c>
      <c r="J97" s="9" t="inlineStr"/>
    </row>
    <row r="98">
      <c r="A98" s="9" t="inlineStr">
        <is>
          <t>Checking ...0861</t>
        </is>
      </c>
      <c r="B98" s="29" t="n">
        <v>46254</v>
      </c>
      <c r="C98" s="9" t="inlineStr">
        <is>
          <t>Shoppawvia8555501268 185-5550126 NC          08/20</t>
        </is>
      </c>
      <c r="D98" s="10" t="n">
        <v>-15.74</v>
      </c>
      <c r="E98" s="9" t="inlineStr">
        <is>
          <t>DEBIT_CARD</t>
        </is>
      </c>
      <c r="F98" s="10" t="n">
        <v>4304.93</v>
      </c>
      <c r="G98" s="9" t="inlineStr">
        <is>
          <t>Shop - Others</t>
        </is>
      </c>
      <c r="H98">
        <f>IFERROR(INDEX(Categories!$A$5:$A$93,MATCH(G98,Categories!$B$5:$B$93,0)),"")</f>
        <v/>
      </c>
      <c r="I98" s="9" t="inlineStr">
        <is>
          <t>D</t>
        </is>
      </c>
      <c r="J98" s="9" t="inlineStr"/>
    </row>
    <row r="99">
      <c r="A99" s="9" t="inlineStr">
        <is>
          <t>Checking ...0861</t>
        </is>
      </c>
      <c r="B99" s="29" t="n">
        <v>46254</v>
      </c>
      <c r="C99" s="9" t="inlineStr">
        <is>
          <t>Shoppawvia8555501268 Cary NC                 08/20</t>
        </is>
      </c>
      <c r="D99" s="10" t="n">
        <v>-39.61</v>
      </c>
      <c r="E99" s="9" t="inlineStr">
        <is>
          <t>DEBIT_CARD</t>
        </is>
      </c>
      <c r="F99" s="10" t="n">
        <v>4320.67</v>
      </c>
      <c r="G99" s="9" t="inlineStr">
        <is>
          <t>Shop - Others</t>
        </is>
      </c>
      <c r="H99">
        <f>IFERROR(INDEX(Categories!$A$5:$A$93,MATCH(G99,Categories!$B$5:$B$93,0)),"")</f>
        <v/>
      </c>
      <c r="I99" s="9" t="inlineStr">
        <is>
          <t>D</t>
        </is>
      </c>
      <c r="J99" s="9" t="inlineStr"/>
    </row>
    <row r="100">
      <c r="A100" s="9" t="inlineStr">
        <is>
          <t>Checking ...0861</t>
        </is>
      </c>
      <c r="B100" s="29" t="n">
        <v>46254</v>
      </c>
      <c r="C100" s="9" t="inlineStr">
        <is>
          <t>MCDONALD'S F26499 LOST HILLS CA              08/19</t>
        </is>
      </c>
      <c r="D100" s="10" t="n">
        <v>-33.31</v>
      </c>
      <c r="E100" s="9" t="inlineStr">
        <is>
          <t>DEBIT_CARD</t>
        </is>
      </c>
      <c r="F100" s="10" t="n">
        <v>4360.28</v>
      </c>
      <c r="G100" s="9" t="inlineStr">
        <is>
          <t>Food - Eat Out</t>
        </is>
      </c>
      <c r="H100">
        <f>IFERROR(INDEX(Categories!$A$5:$A$93,MATCH(G100,Categories!$B$5:$B$93,0)),"")</f>
        <v/>
      </c>
      <c r="I100" s="9" t="inlineStr">
        <is>
          <t>D</t>
        </is>
      </c>
      <c r="J100" s="9" t="inlineStr">
        <is>
          <t>Restaurant/fast-food - defaulted to Eat Out; move to Food - Ailynn/Chris/Misc if you know whose order it was</t>
        </is>
      </c>
    </row>
    <row r="101">
      <c r="A101" s="9" t="inlineStr">
        <is>
          <t>Checking ...0861</t>
        </is>
      </c>
      <c r="B101" s="29" t="n">
        <v>46254</v>
      </c>
      <c r="C101" s="9" t="inlineStr">
        <is>
          <t>LBC SALINAS SALINAS CA                       08/18</t>
        </is>
      </c>
      <c r="D101" s="10" t="n">
        <v>-94</v>
      </c>
      <c r="E101" s="9" t="inlineStr">
        <is>
          <t>DEBIT_CARD</t>
        </is>
      </c>
      <c r="F101" s="10" t="n">
        <v>4393.59</v>
      </c>
      <c r="G101" s="9" t="inlineStr">
        <is>
          <t>Remittance - others</t>
        </is>
      </c>
      <c r="H101">
        <f>IFERROR(INDEX(Categories!$A$5:$A$93,MATCH(G101,Categories!$B$5:$B$93,0)),"")</f>
        <v/>
      </c>
      <c r="I101" s="9" t="inlineStr">
        <is>
          <t>R</t>
        </is>
      </c>
      <c r="J101" s="9" t="inlineStr">
        <is>
          <t>LBC is a Filipino remittance/cargo courier - please confirm recipient</t>
        </is>
      </c>
    </row>
    <row r="102">
      <c r="A102" s="9" t="inlineStr">
        <is>
          <t>Checking ...0861</t>
        </is>
      </c>
      <c r="B102" s="29" t="n">
        <v>46254</v>
      </c>
      <c r="C102" s="9" t="inlineStr">
        <is>
          <t>Zelle payment from RHIAN ABIGAIL ALMO 30487939424</t>
        </is>
      </c>
      <c r="D102" s="10" t="n">
        <v>90</v>
      </c>
      <c r="E102" s="9" t="inlineStr">
        <is>
          <t>QUICKPAY_CREDIT</t>
        </is>
      </c>
      <c r="F102" s="10" t="n">
        <v>4487.59</v>
      </c>
      <c r="G102" s="9" t="inlineStr">
        <is>
          <t>Others - Income</t>
        </is>
      </c>
      <c r="H102">
        <f>IFERROR(INDEX(Categories!$A$5:$A$93,MATCH(G102,Categories!$B$5:$B$93,0)),"")</f>
        <v/>
      </c>
      <c r="I102" s="9" t="inlineStr">
        <is>
          <t>R</t>
        </is>
      </c>
      <c r="J102" s="9" t="inlineStr">
        <is>
          <t>Zelle received - please tell me who this person is so I can map them to a category</t>
        </is>
      </c>
    </row>
    <row r="103">
      <c r="A103" s="9" t="inlineStr">
        <is>
          <t>Checking ...0861</t>
        </is>
      </c>
      <c r="B103" s="29" t="n">
        <v>46254</v>
      </c>
      <c r="C103" s="9" t="inlineStr">
        <is>
          <t>Online Transfer from SAV ...5953 transaction#: 30487469297</t>
        </is>
      </c>
      <c r="D103" s="10" t="n">
        <v>1586</v>
      </c>
      <c r="E103" s="9" t="inlineStr">
        <is>
          <t>ACCT_XFER</t>
        </is>
      </c>
      <c r="F103" s="10" t="n">
        <v>4397.59</v>
      </c>
      <c r="G103" s="9" t="inlineStr">
        <is>
          <t>Transfer - Savings to Checking</t>
        </is>
      </c>
      <c r="H103">
        <f>IFERROR(INDEX(Categories!$A$5:$A$93,MATCH(G103,Categories!$B$5:$B$93,0)),"")</f>
        <v/>
      </c>
      <c r="I103" s="9" t="inlineStr">
        <is>
          <t>H</t>
        </is>
      </c>
      <c r="J103" s="9" t="inlineStr"/>
    </row>
    <row r="104">
      <c r="A104" s="9" t="inlineStr">
        <is>
          <t>Checking ...0861</t>
        </is>
      </c>
      <c r="B104" s="29" t="n">
        <v>46254</v>
      </c>
      <c r="C104" s="9" t="inlineStr">
        <is>
          <t>PAYPAL           TRANSFER                   PPD ID: PAYPALSD11</t>
        </is>
      </c>
      <c r="D104" s="10" t="n">
        <v>1986.32</v>
      </c>
      <c r="E104" s="9" t="inlineStr">
        <is>
          <t>ACH_CREDIT</t>
        </is>
      </c>
      <c r="F104" s="10" t="n">
        <v>2811.59</v>
      </c>
      <c r="G104" s="9" t="inlineStr">
        <is>
          <t>Transfer - PayPal to Checking</t>
        </is>
      </c>
      <c r="H104">
        <f>IFERROR(INDEX(Categories!$A$5:$A$93,MATCH(G104,Categories!$B$5:$B$93,0)),"")</f>
        <v/>
      </c>
      <c r="I104" s="9" t="inlineStr">
        <is>
          <t>H</t>
        </is>
      </c>
      <c r="J104" s="9" t="inlineStr"/>
    </row>
    <row r="105">
      <c r="A105" s="9" t="inlineStr">
        <is>
          <t>Checking ...0861</t>
        </is>
      </c>
      <c r="B105" s="29" t="n">
        <v>46253</v>
      </c>
      <c r="C105" s="9" t="inlineStr">
        <is>
          <t>D &amp; R MKT LOST HILLS CA                      08/19</t>
        </is>
      </c>
      <c r="D105" s="10" t="n">
        <v>-5.24</v>
      </c>
      <c r="E105" s="9" t="inlineStr">
        <is>
          <t>DEBIT_CARD</t>
        </is>
      </c>
      <c r="F105" s="10" t="n">
        <v>825.27</v>
      </c>
      <c r="G105" s="9" t="inlineStr">
        <is>
          <t>Gas</t>
        </is>
      </c>
      <c r="H105">
        <f>IFERROR(INDEX(Categories!$A$5:$A$93,MATCH(G105,Categories!$B$5:$B$93,0)),"")</f>
        <v/>
      </c>
      <c r="I105" s="9" t="inlineStr">
        <is>
          <t>D</t>
        </is>
      </c>
      <c r="J105" s="9" t="inlineStr"/>
    </row>
    <row r="106">
      <c r="A106" s="9" t="inlineStr">
        <is>
          <t>Checking ...0861</t>
        </is>
      </c>
      <c r="B106" s="29" t="n">
        <v>46253</v>
      </c>
      <c r="C106" s="9" t="inlineStr">
        <is>
          <t>SALINAS SINCLAI SALINAS CA                   08/19</t>
        </is>
      </c>
      <c r="D106" s="10" t="n">
        <v>-50.89</v>
      </c>
      <c r="E106" s="9" t="inlineStr">
        <is>
          <t>DEBIT_CARD</t>
        </is>
      </c>
      <c r="F106" s="10" t="n">
        <v>830.51</v>
      </c>
      <c r="G106" s="9" t="inlineStr">
        <is>
          <t>Gas</t>
        </is>
      </c>
      <c r="H106">
        <f>IFERROR(INDEX(Categories!$A$5:$A$93,MATCH(G106,Categories!$B$5:$B$93,0)),"")</f>
        <v/>
      </c>
      <c r="I106" s="9" t="inlineStr">
        <is>
          <t>D</t>
        </is>
      </c>
      <c r="J106" s="9" t="inlineStr"/>
    </row>
    <row r="107">
      <c r="A107" s="9" t="inlineStr">
        <is>
          <t>Checking ...0861</t>
        </is>
      </c>
      <c r="B107" s="29" t="n">
        <v>46253</v>
      </c>
      <c r="C107" s="9" t="inlineStr">
        <is>
          <t>AMAZON MARKETPLA INTERNET   043000092972826 WEB ID: 9049016352</t>
        </is>
      </c>
      <c r="D107" s="10" t="n">
        <v>-380.61</v>
      </c>
      <c r="E107" s="9" t="inlineStr">
        <is>
          <t>ACH_DEBIT</t>
        </is>
      </c>
      <c r="F107" s="10" t="n">
        <v>881.4</v>
      </c>
      <c r="G107" s="9" t="inlineStr">
        <is>
          <t>Shop - Amazon</t>
        </is>
      </c>
      <c r="H107">
        <f>IFERROR(INDEX(Categories!$A$5:$A$93,MATCH(G107,Categories!$B$5:$B$93,0)),"")</f>
        <v/>
      </c>
      <c r="I107" s="9" t="inlineStr">
        <is>
          <t>H</t>
        </is>
      </c>
      <c r="J107" s="9" t="inlineStr"/>
    </row>
    <row r="108">
      <c r="A108" s="9" t="inlineStr">
        <is>
          <t>Checking ...0861</t>
        </is>
      </c>
      <c r="B108" s="29" t="n">
        <v>46253</v>
      </c>
      <c r="C108" s="9" t="inlineStr">
        <is>
          <t>AFFIRM.COM PAYME AFFIRM.COM ST-D2P2S3Z7G6V7 WEB ID: 4270465600</t>
        </is>
      </c>
      <c r="D108" s="10" t="n">
        <v>-68.11</v>
      </c>
      <c r="E108" s="9" t="inlineStr">
        <is>
          <t>ACH_DEBIT</t>
        </is>
      </c>
      <c r="F108" s="10" t="n">
        <v>1262.01</v>
      </c>
      <c r="G108" s="9" t="inlineStr">
        <is>
          <t>Affirm</t>
        </is>
      </c>
      <c r="H108">
        <f>IFERROR(INDEX(Categories!$A$5:$A$93,MATCH(G108,Categories!$B$5:$B$93,0)),"")</f>
        <v/>
      </c>
      <c r="I108" s="9" t="inlineStr">
        <is>
          <t>H</t>
        </is>
      </c>
      <c r="J108" s="9" t="inlineStr"/>
    </row>
    <row r="109">
      <c r="A109" s="9" t="inlineStr">
        <is>
          <t>Checking ...0861</t>
        </is>
      </c>
      <c r="B109" s="29" t="n">
        <v>46253</v>
      </c>
      <c r="C109" s="9" t="inlineStr">
        <is>
          <t>AFFIRM.COM PAYME AFFIRM.COM ST-F3H1D1P3F4J3 WEB ID: 1800948598</t>
        </is>
      </c>
      <c r="D109" s="10" t="n">
        <v>-213.32</v>
      </c>
      <c r="E109" s="9" t="inlineStr">
        <is>
          <t>ACH_DEBIT</t>
        </is>
      </c>
      <c r="F109" s="10" t="n">
        <v>1330.12</v>
      </c>
      <c r="G109" s="9" t="inlineStr">
        <is>
          <t>Affirm</t>
        </is>
      </c>
      <c r="H109">
        <f>IFERROR(INDEX(Categories!$A$5:$A$93,MATCH(G109,Categories!$B$5:$B$93,0)),"")</f>
        <v/>
      </c>
      <c r="I109" s="9" t="inlineStr">
        <is>
          <t>H</t>
        </is>
      </c>
      <c r="J109" s="9" t="inlineStr"/>
    </row>
    <row r="110">
      <c r="A110" s="9" t="inlineStr">
        <is>
          <t>Checking ...0861</t>
        </is>
      </c>
      <c r="B110" s="29" t="n">
        <v>46253</v>
      </c>
      <c r="C110" s="9" t="inlineStr">
        <is>
          <t>DIAMOND DENTAL OF SALIN SALINAS CA           08/18</t>
        </is>
      </c>
      <c r="D110" s="10" t="n">
        <v>-100</v>
      </c>
      <c r="E110" s="9" t="inlineStr">
        <is>
          <t>DEBIT_CARD</t>
        </is>
      </c>
      <c r="F110" s="10" t="n">
        <v>1543.44</v>
      </c>
      <c r="G110" s="9" t="inlineStr">
        <is>
          <t>Medical</t>
        </is>
      </c>
      <c r="H110">
        <f>IFERROR(INDEX(Categories!$A$5:$A$93,MATCH(G110,Categories!$B$5:$B$93,0)),"")</f>
        <v/>
      </c>
      <c r="I110" s="9" t="inlineStr">
        <is>
          <t>H</t>
        </is>
      </c>
      <c r="J110" s="9" t="inlineStr"/>
    </row>
    <row r="111">
      <c r="A111" s="9" t="inlineStr">
        <is>
          <t>Checking ...0861</t>
        </is>
      </c>
      <c r="B111" s="29" t="n">
        <v>46253</v>
      </c>
      <c r="C111" s="9" t="inlineStr">
        <is>
          <t>REPUBLIC SVCS OF SALINA SALINAS CA           08/18</t>
        </is>
      </c>
      <c r="D111" s="10" t="n">
        <v>-43.4</v>
      </c>
      <c r="E111" s="9" t="inlineStr">
        <is>
          <t>DEBIT_CARD</t>
        </is>
      </c>
      <c r="F111" s="10" t="n">
        <v>1643.44</v>
      </c>
      <c r="G111" s="9" t="inlineStr">
        <is>
          <t>Waste Management</t>
        </is>
      </c>
      <c r="H111">
        <f>IFERROR(INDEX(Categories!$A$5:$A$93,MATCH(G111,Categories!$B$5:$B$93,0)),"")</f>
        <v/>
      </c>
      <c r="I111" s="9" t="inlineStr">
        <is>
          <t>H</t>
        </is>
      </c>
      <c r="J111" s="9" t="inlineStr"/>
    </row>
    <row r="112">
      <c r="A112" s="9" t="inlineStr">
        <is>
          <t>Checking ...0861</t>
        </is>
      </c>
      <c r="B112" s="29" t="n">
        <v>46253</v>
      </c>
      <c r="C112" s="9" t="inlineStr">
        <is>
          <t>STARBUCKS 8007827282 800-782-7282 WA         08/18</t>
        </is>
      </c>
      <c r="D112" s="10" t="n">
        <v>-20</v>
      </c>
      <c r="E112" s="9" t="inlineStr">
        <is>
          <t>DEBIT_CARD</t>
        </is>
      </c>
      <c r="F112" s="10" t="n">
        <v>1686.84</v>
      </c>
      <c r="G112" s="9" t="inlineStr">
        <is>
          <t>Food - Eat Out</t>
        </is>
      </c>
      <c r="H112">
        <f>IFERROR(INDEX(Categories!$A$5:$A$93,MATCH(G112,Categories!$B$5:$B$93,0)),"")</f>
        <v/>
      </c>
      <c r="I112" s="9" t="inlineStr">
        <is>
          <t>D</t>
        </is>
      </c>
      <c r="J112" s="9" t="inlineStr">
        <is>
          <t>Restaurant/fast-food - defaulted to Eat Out; move to Food - Ailynn/Chris/Misc if you know whose order it was</t>
        </is>
      </c>
    </row>
    <row r="113">
      <c r="A113" s="9" t="inlineStr">
        <is>
          <t>Checking ...0861</t>
        </is>
      </c>
      <c r="B113" s="29" t="n">
        <v>46253</v>
      </c>
      <c r="C113" s="9" t="inlineStr">
        <is>
          <t>STARBUCKS 8007827282 800-782-7282 WA         08/18</t>
        </is>
      </c>
      <c r="D113" s="10" t="n">
        <v>-30</v>
      </c>
      <c r="E113" s="9" t="inlineStr">
        <is>
          <t>DEBIT_CARD</t>
        </is>
      </c>
      <c r="F113" s="10" t="n">
        <v>1706.84</v>
      </c>
      <c r="G113" s="9" t="inlineStr">
        <is>
          <t>Food - Eat Out</t>
        </is>
      </c>
      <c r="H113">
        <f>IFERROR(INDEX(Categories!$A$5:$A$93,MATCH(G113,Categories!$B$5:$B$93,0)),"")</f>
        <v/>
      </c>
      <c r="I113" s="9" t="inlineStr">
        <is>
          <t>D</t>
        </is>
      </c>
      <c r="J113" s="9" t="inlineStr">
        <is>
          <t>Restaurant/fast-food - defaulted to Eat Out; move to Food - Ailynn/Chris/Misc if you know whose order it was</t>
        </is>
      </c>
    </row>
    <row r="114">
      <c r="A114" s="9" t="inlineStr">
        <is>
          <t>Checking ...0861</t>
        </is>
      </c>
      <c r="B114" s="29" t="n">
        <v>46253</v>
      </c>
      <c r="C114" s="9" t="inlineStr">
        <is>
          <t>U-HAULONSITE EQUIPMENT SALINAS CA            08/18</t>
        </is>
      </c>
      <c r="D114" s="10" t="n">
        <v>-48.37</v>
      </c>
      <c r="E114" s="9" t="inlineStr">
        <is>
          <t>DEBIT_CARD</t>
        </is>
      </c>
      <c r="F114" s="10" t="n">
        <v>1736.84</v>
      </c>
      <c r="G114" s="9" t="inlineStr">
        <is>
          <t>For Car</t>
        </is>
      </c>
      <c r="H114">
        <f>IFERROR(INDEX(Categories!$A$5:$A$93,MATCH(G114,Categories!$B$5:$B$93,0)),"")</f>
        <v/>
      </c>
      <c r="I114" s="9" t="inlineStr">
        <is>
          <t>H</t>
        </is>
      </c>
      <c r="J114" s="9" t="inlineStr"/>
    </row>
    <row r="115">
      <c r="A115" s="9" t="inlineStr">
        <is>
          <t>Checking ...0861</t>
        </is>
      </c>
      <c r="B115" s="29" t="n">
        <v>46253</v>
      </c>
      <c r="C115" s="9" t="inlineStr">
        <is>
          <t>USPS CHANGE OF ADDRES 800-238-3150 TN        08/18</t>
        </is>
      </c>
      <c r="D115" s="10" t="n">
        <v>-1.25</v>
      </c>
      <c r="E115" s="9" t="inlineStr">
        <is>
          <t>DEBIT_CARD</t>
        </is>
      </c>
      <c r="F115" s="10" t="n">
        <v>1785.21</v>
      </c>
      <c r="G115" s="9" t="inlineStr">
        <is>
          <t>Others</t>
        </is>
      </c>
      <c r="H115">
        <f>IFERROR(INDEX(Categories!$A$5:$A$93,MATCH(G115,Categories!$B$5:$B$93,0)),"")</f>
        <v/>
      </c>
      <c r="I115" s="9" t="inlineStr">
        <is>
          <t>D</t>
        </is>
      </c>
      <c r="J115" s="9" t="inlineStr">
        <is>
          <t>Shipping/postal</t>
        </is>
      </c>
    </row>
    <row r="116">
      <c r="A116" s="9" t="inlineStr">
        <is>
          <t>Checking ...0861</t>
        </is>
      </c>
      <c r="B116" s="29" t="n">
        <v>46253</v>
      </c>
      <c r="C116" s="9" t="inlineStr">
        <is>
          <t>LITTLE CAESARS #5054 800-722-3727 CA         08/17</t>
        </is>
      </c>
      <c r="D116" s="10" t="n">
        <v>-41.54</v>
      </c>
      <c r="E116" s="9" t="inlineStr">
        <is>
          <t>DEBIT_CARD</t>
        </is>
      </c>
      <c r="F116" s="10" t="n">
        <v>1786.46</v>
      </c>
      <c r="G116" s="9" t="inlineStr">
        <is>
          <t>Food - Eat Out</t>
        </is>
      </c>
      <c r="H116">
        <f>IFERROR(INDEX(Categories!$A$5:$A$93,MATCH(G116,Categories!$B$5:$B$93,0)),"")</f>
        <v/>
      </c>
      <c r="I116" s="9" t="inlineStr">
        <is>
          <t>D</t>
        </is>
      </c>
      <c r="J116" s="9" t="inlineStr">
        <is>
          <t>Restaurant/fast-food - defaulted to Eat Out; move to Food - Ailynn/Chris/Misc if you know whose order it was</t>
        </is>
      </c>
    </row>
    <row r="117">
      <c r="A117" s="9" t="inlineStr">
        <is>
          <t>Checking ...0861</t>
        </is>
      </c>
      <c r="B117" s="29" t="n">
        <v>46253</v>
      </c>
      <c r="C117" s="9" t="inlineStr">
        <is>
          <t>PAYPAL           TRANSFER                   PPD ID: PAYPALSD11</t>
        </is>
      </c>
      <c r="D117" s="10" t="n">
        <v>1828</v>
      </c>
      <c r="E117" s="9" t="inlineStr">
        <is>
          <t>ACH_CREDIT</t>
        </is>
      </c>
      <c r="F117" s="10" t="n">
        <v>1828</v>
      </c>
      <c r="G117" s="9" t="inlineStr">
        <is>
          <t>Transfer - PayPal to Checking</t>
        </is>
      </c>
      <c r="H117">
        <f>IFERROR(INDEX(Categories!$A$5:$A$93,MATCH(G117,Categories!$B$5:$B$93,0)),"")</f>
        <v/>
      </c>
      <c r="I117" s="9" t="inlineStr">
        <is>
          <t>H</t>
        </is>
      </c>
      <c r="J117" s="9" t="inlineStr"/>
    </row>
    <row r="118">
      <c r="A118" s="9" t="inlineStr">
        <is>
          <t>Checking ...0861</t>
        </is>
      </c>
      <c r="B118" s="29" t="n">
        <v>46252</v>
      </c>
      <c r="C118" s="9" t="inlineStr">
        <is>
          <t>DOMESTIC INCOMING WIRE FEE</t>
        </is>
      </c>
      <c r="D118" s="10" t="n">
        <v>-15</v>
      </c>
      <c r="E118" s="9" t="inlineStr">
        <is>
          <t>FEE_TRANSACTION</t>
        </is>
      </c>
      <c r="F118" s="10" t="n">
        <v>0</v>
      </c>
      <c r="G118" s="9" t="inlineStr">
        <is>
          <t>Others</t>
        </is>
      </c>
      <c r="H118">
        <f>IFERROR(INDEX(Categories!$A$5:$A$93,MATCH(G118,Categories!$B$5:$B$93,0)),"")</f>
        <v/>
      </c>
      <c r="I118" s="9" t="inlineStr">
        <is>
          <t>H</t>
        </is>
      </c>
      <c r="J118" s="9" t="inlineStr">
        <is>
          <t>Bank fee</t>
        </is>
      </c>
    </row>
    <row r="119">
      <c r="A119" s="9" t="inlineStr">
        <is>
          <t>Checking ...0861</t>
        </is>
      </c>
      <c r="B119" s="29" t="n">
        <v>46252</v>
      </c>
      <c r="C119" s="9" t="inlineStr">
        <is>
          <t>Zelle payment to RHIAN ALMO 30465722280</t>
        </is>
      </c>
      <c r="D119" s="10" t="n">
        <v>-75</v>
      </c>
      <c r="E119" s="9" t="inlineStr">
        <is>
          <t>QUICKPAY_DEBIT</t>
        </is>
      </c>
      <c r="F119" s="10" t="n">
        <v>15</v>
      </c>
      <c r="G119" s="9" t="inlineStr">
        <is>
          <t>Others</t>
        </is>
      </c>
      <c r="H119">
        <f>IFERROR(INDEX(Categories!$A$5:$A$93,MATCH(G119,Categories!$B$5:$B$93,0)),"")</f>
        <v/>
      </c>
      <c r="I119" s="9" t="inlineStr">
        <is>
          <t>R</t>
        </is>
      </c>
      <c r="J119" s="9" t="inlineStr">
        <is>
          <t>Zelle sent - please tell me who this person is so I can map them to a category</t>
        </is>
      </c>
    </row>
    <row r="120">
      <c r="A120" s="9" t="inlineStr">
        <is>
          <t>Checking ...0861</t>
        </is>
      </c>
      <c r="B120" s="29" t="n">
        <v>46252</v>
      </c>
      <c r="C120" s="9" t="inlineStr">
        <is>
          <t>THE HOME DEPOT #1843 SALINAS CA      023706  08/18</t>
        </is>
      </c>
      <c r="D120" s="10" t="n">
        <v>-24.43</v>
      </c>
      <c r="E120" s="9" t="inlineStr">
        <is>
          <t>DEBIT_CARD</t>
        </is>
      </c>
      <c r="F120" s="10" t="n">
        <v>90</v>
      </c>
      <c r="G120" s="9" t="inlineStr">
        <is>
          <t>Others</t>
        </is>
      </c>
      <c r="H120">
        <f>IFERROR(INDEX(Categories!$A$5:$A$93,MATCH(G120,Categories!$B$5:$B$93,0)),"")</f>
        <v/>
      </c>
      <c r="I120" s="9" t="inlineStr">
        <is>
          <t>D</t>
        </is>
      </c>
      <c r="J120" s="9" t="inlineStr">
        <is>
          <t>Home-improvement store - no matching category in your list</t>
        </is>
      </c>
    </row>
    <row r="121">
      <c r="A121" s="9" t="inlineStr">
        <is>
          <t>Checking ...0861</t>
        </is>
      </c>
      <c r="B121" s="29" t="n">
        <v>46252</v>
      </c>
      <c r="C121" s="9" t="inlineStr">
        <is>
          <t>Zelle payment to Doris Lopez JPM99ctlg1nt</t>
        </is>
      </c>
      <c r="D121" s="10" t="n">
        <v>-50</v>
      </c>
      <c r="E121" s="9" t="inlineStr">
        <is>
          <t>CHASE_TO_PARTNERFI</t>
        </is>
      </c>
      <c r="F121" s="10" t="n">
        <v>114.43</v>
      </c>
      <c r="G121" s="9" t="inlineStr">
        <is>
          <t>Doris</t>
        </is>
      </c>
      <c r="H121">
        <f>IFERROR(INDEX(Categories!$A$5:$A$93,MATCH(G121,Categories!$B$5:$B$93,0)),"")</f>
        <v/>
      </c>
      <c r="I121" s="9" t="inlineStr">
        <is>
          <t>H</t>
        </is>
      </c>
      <c r="J121" s="9" t="inlineStr"/>
    </row>
    <row r="122">
      <c r="A122" s="9" t="inlineStr">
        <is>
          <t>Checking ...0861</t>
        </is>
      </c>
      <c r="B122" s="29" t="n">
        <v>46252</v>
      </c>
      <c r="C122" s="9" t="inlineStr">
        <is>
          <t>THE HOME DEPOT #1843 SALINAS CA      134138  08/18</t>
        </is>
      </c>
      <c r="D122" s="10" t="n">
        <v>-82.33</v>
      </c>
      <c r="E122" s="9" t="inlineStr">
        <is>
          <t>DEBIT_CARD</t>
        </is>
      </c>
      <c r="F122" s="10" t="n">
        <v>164.43</v>
      </c>
      <c r="G122" s="9" t="inlineStr">
        <is>
          <t>Others</t>
        </is>
      </c>
      <c r="H122">
        <f>IFERROR(INDEX(Categories!$A$5:$A$93,MATCH(G122,Categories!$B$5:$B$93,0)),"")</f>
        <v/>
      </c>
      <c r="I122" s="9" t="inlineStr">
        <is>
          <t>D</t>
        </is>
      </c>
      <c r="J122" s="9" t="inlineStr">
        <is>
          <t>Home-improvement store - no matching category in your list</t>
        </is>
      </c>
    </row>
    <row r="123">
      <c r="A123" s="9" t="inlineStr">
        <is>
          <t>Checking ...0861</t>
        </is>
      </c>
      <c r="B123" s="29" t="n">
        <v>46252</v>
      </c>
      <c r="C123" s="9" t="inlineStr">
        <is>
          <t>AMAZON.COM SERVI INTERNET   043000099154040 WEB ID: 9049016352</t>
        </is>
      </c>
      <c r="D123" s="10" t="n">
        <v>-10.86</v>
      </c>
      <c r="E123" s="9" t="inlineStr">
        <is>
          <t>ACH_DEBIT</t>
        </is>
      </c>
      <c r="F123" s="10" t="n">
        <v>246.76</v>
      </c>
      <c r="G123" s="9" t="inlineStr">
        <is>
          <t>Shop - Amazon</t>
        </is>
      </c>
      <c r="H123">
        <f>IFERROR(INDEX(Categories!$A$5:$A$93,MATCH(G123,Categories!$B$5:$B$93,0)),"")</f>
        <v/>
      </c>
      <c r="I123" s="9" t="inlineStr">
        <is>
          <t>H</t>
        </is>
      </c>
      <c r="J123" s="9" t="inlineStr"/>
    </row>
    <row r="124">
      <c r="A124" s="9" t="inlineStr">
        <is>
          <t>Checking ...0861</t>
        </is>
      </c>
      <c r="B124" s="29" t="n">
        <v>46252</v>
      </c>
      <c r="C124" s="9" t="inlineStr">
        <is>
          <t>AFFIRM.COM PAYME AFFIRM.COM ST-D1S0F5J5F6E5 WEB ID: 1800948598</t>
        </is>
      </c>
      <c r="D124" s="10" t="n">
        <v>-98.62</v>
      </c>
      <c r="E124" s="9" t="inlineStr">
        <is>
          <t>ACH_DEBIT</t>
        </is>
      </c>
      <c r="F124" s="10" t="n">
        <v>257.62</v>
      </c>
      <c r="G124" s="9" t="inlineStr">
        <is>
          <t>Affirm</t>
        </is>
      </c>
      <c r="H124">
        <f>IFERROR(INDEX(Categories!$A$5:$A$93,MATCH(G124,Categories!$B$5:$B$93,0)),"")</f>
        <v/>
      </c>
      <c r="I124" s="9" t="inlineStr">
        <is>
          <t>H</t>
        </is>
      </c>
      <c r="J124" s="9" t="inlineStr"/>
    </row>
    <row r="125">
      <c r="A125" s="9" t="inlineStr">
        <is>
          <t>Checking ...0861</t>
        </is>
      </c>
      <c r="B125" s="29" t="n">
        <v>46252</v>
      </c>
      <c r="C125" s="9" t="inlineStr">
        <is>
          <t>Zelle payment to 8182015945 JPM99ctiuy94</t>
        </is>
      </c>
      <c r="D125" s="10" t="n">
        <v>-2708</v>
      </c>
      <c r="E125" s="9" t="inlineStr">
        <is>
          <t>CHASE_TO_PARTNERFI</t>
        </is>
      </c>
      <c r="F125" s="10" t="n">
        <v>356.24</v>
      </c>
      <c r="G125" s="9" t="inlineStr">
        <is>
          <t>Others</t>
        </is>
      </c>
      <c r="H125">
        <f>IFERROR(INDEX(Categories!$A$5:$A$93,MATCH(G125,Categories!$B$5:$B$93,0)),"")</f>
        <v/>
      </c>
      <c r="I125" s="9" t="inlineStr">
        <is>
          <t>R</t>
        </is>
      </c>
      <c r="J125" s="9" t="inlineStr">
        <is>
          <t>Zelle sent - please tell me who this person is so I can map them to a category</t>
        </is>
      </c>
    </row>
    <row r="126">
      <c r="A126" s="9" t="inlineStr">
        <is>
          <t>Checking ...0861</t>
        </is>
      </c>
      <c r="B126" s="29" t="n">
        <v>46252</v>
      </c>
      <c r="C126" s="9" t="inlineStr">
        <is>
          <t>NAPA STORE 4574057 SALINAS CA                08/17</t>
        </is>
      </c>
      <c r="D126" s="10" t="n">
        <v>-4.53</v>
      </c>
      <c r="E126" s="9" t="inlineStr">
        <is>
          <t>DEBIT_CARD</t>
        </is>
      </c>
      <c r="F126" s="10" t="n">
        <v>3064.24</v>
      </c>
      <c r="G126" s="9" t="inlineStr">
        <is>
          <t>For Car</t>
        </is>
      </c>
      <c r="H126">
        <f>IFERROR(INDEX(Categories!$A$5:$A$93,MATCH(G126,Categories!$B$5:$B$93,0)),"")</f>
        <v/>
      </c>
      <c r="I126" s="9" t="inlineStr">
        <is>
          <t>H</t>
        </is>
      </c>
      <c r="J126" s="9" t="inlineStr"/>
    </row>
    <row r="127">
      <c r="A127" s="9" t="inlineStr">
        <is>
          <t>Checking ...0861</t>
        </is>
      </c>
      <c r="B127" s="29" t="n">
        <v>46252</v>
      </c>
      <c r="C127" s="9" t="inlineStr">
        <is>
          <t>Online Transfer from SAV ...5953 transaction#: 30464063030</t>
        </is>
      </c>
      <c r="D127" s="10" t="n">
        <v>1000</v>
      </c>
      <c r="E127" s="9" t="inlineStr">
        <is>
          <t>ACCT_XFER</t>
        </is>
      </c>
      <c r="F127" s="10" t="n">
        <v>3068.77</v>
      </c>
      <c r="G127" s="9" t="inlineStr">
        <is>
          <t>Transfer - Savings to Checking</t>
        </is>
      </c>
      <c r="H127">
        <f>IFERROR(INDEX(Categories!$A$5:$A$93,MATCH(G127,Categories!$B$5:$B$93,0)),"")</f>
        <v/>
      </c>
      <c r="I127" s="9" t="inlineStr">
        <is>
          <t>H</t>
        </is>
      </c>
      <c r="J127" s="9" t="inlineStr"/>
    </row>
    <row r="128">
      <c r="A128" s="9" t="inlineStr">
        <is>
          <t>Checking ...0861</t>
        </is>
      </c>
      <c r="B128" s="29" t="n">
        <v>46252</v>
      </c>
      <c r="C128" s="9" t="inlineStr">
        <is>
          <t>CHIPS CREDIT VIA: CITIBANK N.A./0008 B/O: AMOAPPS LTD CY REF: NBNF=CHRISTOPHER PEREZ OR AILYNN PEREZ SALINAS CA 93907-1813 US/AC-000 000007071 ORG=/14995821 CY OGB=CITI BANK N.A. LONDON UNITED KINGDOM GB OBI=/URI/REFUND SSN: 00384560 TRN: 0095184230FC</t>
        </is>
      </c>
      <c r="D128" s="10" t="n">
        <v>18.99</v>
      </c>
      <c r="E128" s="9" t="inlineStr">
        <is>
          <t>WIRE_INCOMING</t>
        </is>
      </c>
      <c r="F128" s="10" t="n">
        <v>2068.77</v>
      </c>
      <c r="G128" s="9" t="inlineStr">
        <is>
          <t>Others - Income</t>
        </is>
      </c>
      <c r="H128">
        <f>IFERROR(INDEX(Categories!$A$5:$A$93,MATCH(G128,Categories!$B$5:$B$93,0)),"")</f>
        <v/>
      </c>
      <c r="I128" s="9" t="inlineStr">
        <is>
          <t>R</t>
        </is>
      </c>
      <c r="J128" s="9" t="inlineStr">
        <is>
          <t>Deposit/wire with unclear source</t>
        </is>
      </c>
    </row>
    <row r="129">
      <c r="A129" s="9" t="inlineStr">
        <is>
          <t>Checking ...0861</t>
        </is>
      </c>
      <c r="B129" s="29" t="n">
        <v>46252</v>
      </c>
      <c r="C129" s="9" t="inlineStr">
        <is>
          <t>ODP TRANSFER FROM SAVINGS ...5953</t>
        </is>
      </c>
      <c r="D129" s="10" t="n">
        <v>2049.78</v>
      </c>
      <c r="E129" s="9" t="inlineStr">
        <is>
          <t>MISC_CREDIT</t>
        </is>
      </c>
      <c r="F129" s="10" t="n">
        <v>2049.78</v>
      </c>
      <c r="G129" s="9" t="inlineStr">
        <is>
          <t>Transfer - Savings to Checking</t>
        </is>
      </c>
      <c r="H129">
        <f>IFERROR(INDEX(Categories!$A$5:$A$93,MATCH(G129,Categories!$B$5:$B$93,0)),"")</f>
        <v/>
      </c>
      <c r="I129" s="9" t="inlineStr">
        <is>
          <t>H</t>
        </is>
      </c>
      <c r="J129" s="9" t="inlineStr">
        <is>
          <t>Overdraft-protection auto-pull from savings</t>
        </is>
      </c>
    </row>
    <row r="130">
      <c r="A130" s="9" t="inlineStr">
        <is>
          <t>Checking ...0861</t>
        </is>
      </c>
      <c r="B130" s="29" t="n">
        <v>46251</v>
      </c>
      <c r="C130" s="9" t="inlineStr">
        <is>
          <t>AFFIRM.COM PAYME AFFIRM.COM ST-W2R2D2M9B7B4 WEB ID: 1800948598</t>
        </is>
      </c>
      <c r="D130" s="10" t="n">
        <v>-287.25</v>
      </c>
      <c r="E130" s="9" t="inlineStr">
        <is>
          <t>ACH_DEBIT</t>
        </is>
      </c>
      <c r="F130" s="10" t="n">
        <v>0</v>
      </c>
      <c r="G130" s="9" t="inlineStr">
        <is>
          <t>Affirm</t>
        </is>
      </c>
      <c r="H130">
        <f>IFERROR(INDEX(Categories!$A$5:$A$93,MATCH(G130,Categories!$B$5:$B$93,0)),"")</f>
        <v/>
      </c>
      <c r="I130" s="9" t="inlineStr">
        <is>
          <t>H</t>
        </is>
      </c>
      <c r="J130" s="9" t="inlineStr"/>
    </row>
    <row r="131">
      <c r="A131" s="9" t="inlineStr">
        <is>
          <t>Checking ...0861</t>
        </is>
      </c>
      <c r="B131" s="29" t="n">
        <v>46251</v>
      </c>
      <c r="C131" s="9" t="inlineStr">
        <is>
          <t>AMAZON MARKETPLA INTERNET   043000097487524 WEB ID: 9049016352</t>
        </is>
      </c>
      <c r="D131" s="10" t="n">
        <v>-14.13</v>
      </c>
      <c r="E131" s="9" t="inlineStr">
        <is>
          <t>ACH_DEBIT</t>
        </is>
      </c>
      <c r="F131" s="10" t="n">
        <v>287.25</v>
      </c>
      <c r="G131" s="9" t="inlineStr">
        <is>
          <t>Shop - Amazon</t>
        </is>
      </c>
      <c r="H131">
        <f>IFERROR(INDEX(Categories!$A$5:$A$93,MATCH(G131,Categories!$B$5:$B$93,0)),"")</f>
        <v/>
      </c>
      <c r="I131" s="9" t="inlineStr">
        <is>
          <t>H</t>
        </is>
      </c>
      <c r="J131" s="9" t="inlineStr"/>
    </row>
    <row r="132">
      <c r="A132" s="9" t="inlineStr">
        <is>
          <t>Checking ...0861</t>
        </is>
      </c>
      <c r="B132" s="29" t="n">
        <v>46251</v>
      </c>
      <c r="C132" s="9" t="inlineStr">
        <is>
          <t>AMAZON MARKETPLA INTERNET   043000097552600 WEB ID: 9049016352</t>
        </is>
      </c>
      <c r="D132" s="10" t="n">
        <v>-15.65</v>
      </c>
      <c r="E132" s="9" t="inlineStr">
        <is>
          <t>ACH_DEBIT</t>
        </is>
      </c>
      <c r="F132" s="10" t="n">
        <v>301.38</v>
      </c>
      <c r="G132" s="9" t="inlineStr">
        <is>
          <t>Shop - Amazon</t>
        </is>
      </c>
      <c r="H132">
        <f>IFERROR(INDEX(Categories!$A$5:$A$93,MATCH(G132,Categories!$B$5:$B$93,0)),"")</f>
        <v/>
      </c>
      <c r="I132" s="9" t="inlineStr">
        <is>
          <t>H</t>
        </is>
      </c>
      <c r="J132" s="9" t="inlineStr"/>
    </row>
    <row r="133">
      <c r="A133" s="9" t="inlineStr">
        <is>
          <t>Checking ...0861</t>
        </is>
      </c>
      <c r="B133" s="29" t="n">
        <v>46251</v>
      </c>
      <c r="C133" s="9" t="inlineStr">
        <is>
          <t>AMAZON MARKETPLA INTERNET   043000097548100 WEB ID: 9049016352</t>
        </is>
      </c>
      <c r="D133" s="10" t="n">
        <v>-29.03</v>
      </c>
      <c r="E133" s="9" t="inlineStr">
        <is>
          <t>ACH_DEBIT</t>
        </is>
      </c>
      <c r="F133" s="10" t="n">
        <v>317.03</v>
      </c>
      <c r="G133" s="9" t="inlineStr">
        <is>
          <t>Shop - Amazon</t>
        </is>
      </c>
      <c r="H133">
        <f>IFERROR(INDEX(Categories!$A$5:$A$93,MATCH(G133,Categories!$B$5:$B$93,0)),"")</f>
        <v/>
      </c>
      <c r="I133" s="9" t="inlineStr">
        <is>
          <t>H</t>
        </is>
      </c>
      <c r="J133" s="9" t="inlineStr"/>
    </row>
    <row r="134">
      <c r="A134" s="9" t="inlineStr">
        <is>
          <t>Checking ...0861</t>
        </is>
      </c>
      <c r="B134" s="29" t="n">
        <v>46251</v>
      </c>
      <c r="C134" s="9" t="inlineStr">
        <is>
          <t>CITI CARD ONLINE PAYMENT    432093034101335 WEB ID: CITICTP</t>
        </is>
      </c>
      <c r="D134" s="10" t="n">
        <v>-3139.48</v>
      </c>
      <c r="E134" s="9" t="inlineStr">
        <is>
          <t>ACH_DEBIT</t>
        </is>
      </c>
      <c r="F134" s="10" t="n">
        <v>346.06</v>
      </c>
      <c r="G134" s="9" t="inlineStr">
        <is>
          <t>CC - Citibank</t>
        </is>
      </c>
      <c r="H134">
        <f>IFERROR(INDEX(Categories!$A$5:$A$93,MATCH(G134,Categories!$B$5:$B$93,0)),"")</f>
        <v/>
      </c>
      <c r="I134" s="9" t="inlineStr">
        <is>
          <t>H</t>
        </is>
      </c>
      <c r="J134" s="9" t="inlineStr"/>
    </row>
    <row r="135">
      <c r="A135" s="9" t="inlineStr">
        <is>
          <t>Checking ...0861</t>
        </is>
      </c>
      <c r="B135" s="29" t="n">
        <v>46251</v>
      </c>
      <c r="C135" s="9" t="inlineStr">
        <is>
          <t>Zelle payment to LEANDRO VALLE JPM99ctf6qqx</t>
        </is>
      </c>
      <c r="D135" s="10" t="n">
        <v>-35</v>
      </c>
      <c r="E135" s="9" t="inlineStr">
        <is>
          <t>CHASE_TO_PARTNERFI</t>
        </is>
      </c>
      <c r="F135" s="10" t="n">
        <v>3485.54</v>
      </c>
      <c r="G135" s="9" t="inlineStr">
        <is>
          <t>Others</t>
        </is>
      </c>
      <c r="H135">
        <f>IFERROR(INDEX(Categories!$A$5:$A$93,MATCH(G135,Categories!$B$5:$B$93,0)),"")</f>
        <v/>
      </c>
      <c r="I135" s="9" t="inlineStr">
        <is>
          <t>R</t>
        </is>
      </c>
      <c r="J135" s="9" t="inlineStr">
        <is>
          <t>Zelle sent - please tell me who this person is so I can map them to a category</t>
        </is>
      </c>
    </row>
    <row r="136">
      <c r="A136" s="9" t="inlineStr">
        <is>
          <t>Checking ...0861</t>
        </is>
      </c>
      <c r="B136" s="29" t="n">
        <v>46251</v>
      </c>
      <c r="C136" s="9" t="inlineStr">
        <is>
          <t>THE HOME DEPOT #1843 SALINAS CA      671389  08/16</t>
        </is>
      </c>
      <c r="D136" s="10" t="n">
        <v>-102.01</v>
      </c>
      <c r="E136" s="9" t="inlineStr">
        <is>
          <t>DEBIT_CARD</t>
        </is>
      </c>
      <c r="F136" s="10" t="n">
        <v>3520.54</v>
      </c>
      <c r="G136" s="9" t="inlineStr">
        <is>
          <t>Others</t>
        </is>
      </c>
      <c r="H136">
        <f>IFERROR(INDEX(Categories!$A$5:$A$93,MATCH(G136,Categories!$B$5:$B$93,0)),"")</f>
        <v/>
      </c>
      <c r="I136" s="9" t="inlineStr">
        <is>
          <t>D</t>
        </is>
      </c>
      <c r="J136" s="9" t="inlineStr">
        <is>
          <t>Home-improvement store - no matching category in your list</t>
        </is>
      </c>
    </row>
    <row r="137">
      <c r="A137" s="9" t="inlineStr">
        <is>
          <t>Checking ...0861</t>
        </is>
      </c>
      <c r="B137" s="29" t="n">
        <v>46251</v>
      </c>
      <c r="C137" s="9" t="inlineStr">
        <is>
          <t>GIV*FIRST PRESBY 831-4227811 CA              08/16</t>
        </is>
      </c>
      <c r="D137" s="10" t="n">
        <v>-20</v>
      </c>
      <c r="E137" s="9" t="inlineStr">
        <is>
          <t>DEBIT_CARD</t>
        </is>
      </c>
      <c r="F137" s="10" t="n">
        <v>3622.55</v>
      </c>
      <c r="G137" s="9" t="inlineStr">
        <is>
          <t>Others</t>
        </is>
      </c>
      <c r="H137">
        <f>IFERROR(INDEX(Categories!$A$5:$A$93,MATCH(G137,Categories!$B$5:$B$93,0)),"")</f>
        <v/>
      </c>
      <c r="I137" s="9" t="inlineStr">
        <is>
          <t>H</t>
        </is>
      </c>
      <c r="J137" s="9" t="inlineStr">
        <is>
          <t>Recurring $20 church/charitable giving - no matching category in your list, put under Others</t>
        </is>
      </c>
    </row>
    <row r="138">
      <c r="A138" s="9" t="inlineStr">
        <is>
          <t>Checking ...0861</t>
        </is>
      </c>
      <c r="B138" s="29" t="n">
        <v>46251</v>
      </c>
      <c r="C138" s="9" t="inlineStr">
        <is>
          <t>CHEVRON 0355921 BENICIA CA                   08/16</t>
        </is>
      </c>
      <c r="D138" s="10" t="n">
        <v>-50.34</v>
      </c>
      <c r="E138" s="9" t="inlineStr">
        <is>
          <t>DEBIT_CARD</t>
        </is>
      </c>
      <c r="F138" s="10" t="n">
        <v>3642.55</v>
      </c>
      <c r="G138" s="9" t="inlineStr">
        <is>
          <t>Gas</t>
        </is>
      </c>
      <c r="H138">
        <f>IFERROR(INDEX(Categories!$A$5:$A$93,MATCH(G138,Categories!$B$5:$B$93,0)),"")</f>
        <v/>
      </c>
      <c r="I138" s="9" t="inlineStr">
        <is>
          <t>D</t>
        </is>
      </c>
      <c r="J138" s="9" t="inlineStr"/>
    </row>
    <row r="139">
      <c r="A139" s="9" t="inlineStr">
        <is>
          <t>Checking ...0861</t>
        </is>
      </c>
      <c r="B139" s="29" t="n">
        <v>46251</v>
      </c>
      <c r="C139" s="9" t="inlineStr">
        <is>
          <t>SUSHI PIER TAHOE STATELINE NV                08/15</t>
        </is>
      </c>
      <c r="D139" s="10" t="n">
        <v>-98.2</v>
      </c>
      <c r="E139" s="9" t="inlineStr">
        <is>
          <t>DEBIT_CARD</t>
        </is>
      </c>
      <c r="F139" s="10" t="n">
        <v>3692.89</v>
      </c>
      <c r="G139" s="9" t="inlineStr">
        <is>
          <t>Food - Eat Out</t>
        </is>
      </c>
      <c r="H139">
        <f>IFERROR(INDEX(Categories!$A$5:$A$93,MATCH(G139,Categories!$B$5:$B$93,0)),"")</f>
        <v/>
      </c>
      <c r="I139" s="9" t="inlineStr">
        <is>
          <t>D</t>
        </is>
      </c>
      <c r="J139" s="9" t="inlineStr">
        <is>
          <t>Restaurant/fast-food - defaulted to Eat Out; move to Food - Ailynn/Chris/Misc if you know whose order it was</t>
        </is>
      </c>
    </row>
    <row r="140">
      <c r="A140" s="9" t="inlineStr">
        <is>
          <t>Checking ...0861</t>
        </is>
      </c>
      <c r="B140" s="29" t="n">
        <v>46251</v>
      </c>
      <c r="C140" s="9" t="inlineStr">
        <is>
          <t>NYACK EMIGRANT GAP CA                061478  08/15</t>
        </is>
      </c>
      <c r="D140" s="10" t="n">
        <v>-3.79</v>
      </c>
      <c r="E140" s="9" t="inlineStr">
        <is>
          <t>DEBIT_CARD</t>
        </is>
      </c>
      <c r="F140" s="10" t="n">
        <v>3791.09</v>
      </c>
      <c r="G140" s="9" t="inlineStr">
        <is>
          <t>Gas</t>
        </is>
      </c>
      <c r="H140">
        <f>IFERROR(INDEX(Categories!$A$5:$A$93,MATCH(G140,Categories!$B$5:$B$93,0)),"")</f>
        <v/>
      </c>
      <c r="I140" s="9" t="inlineStr">
        <is>
          <t>D</t>
        </is>
      </c>
      <c r="J140" s="9" t="inlineStr"/>
    </row>
    <row r="141">
      <c r="A141" s="9" t="inlineStr">
        <is>
          <t>Checking ...0861</t>
        </is>
      </c>
      <c r="B141" s="29" t="n">
        <v>46251</v>
      </c>
      <c r="C141" s="9" t="inlineStr">
        <is>
          <t>NYACK EMIGRANT GAP CA                549918  08/15</t>
        </is>
      </c>
      <c r="D141" s="10" t="n">
        <v>-9.109999999999999</v>
      </c>
      <c r="E141" s="9" t="inlineStr">
        <is>
          <t>DEBIT_CARD</t>
        </is>
      </c>
      <c r="F141" s="10" t="n">
        <v>3794.88</v>
      </c>
      <c r="G141" s="9" t="inlineStr">
        <is>
          <t>Gas</t>
        </is>
      </c>
      <c r="H141">
        <f>IFERROR(INDEX(Categories!$A$5:$A$93,MATCH(G141,Categories!$B$5:$B$93,0)),"")</f>
        <v/>
      </c>
      <c r="I141" s="9" t="inlineStr">
        <is>
          <t>D</t>
        </is>
      </c>
      <c r="J141" s="9" t="inlineStr"/>
    </row>
    <row r="142">
      <c r="A142" s="9" t="inlineStr">
        <is>
          <t>Checking ...0861</t>
        </is>
      </c>
      <c r="B142" s="29" t="n">
        <v>46251</v>
      </c>
      <c r="C142" s="9" t="inlineStr">
        <is>
          <t>CHEVRON 0391035 NEWCASTLE CA                 08/15</t>
        </is>
      </c>
      <c r="D142" s="10" t="n">
        <v>-34.66</v>
      </c>
      <c r="E142" s="9" t="inlineStr">
        <is>
          <t>DEBIT_CARD</t>
        </is>
      </c>
      <c r="F142" s="10" t="n">
        <v>3803.99</v>
      </c>
      <c r="G142" s="9" t="inlineStr">
        <is>
          <t>Gas</t>
        </is>
      </c>
      <c r="H142">
        <f>IFERROR(INDEX(Categories!$A$5:$A$93,MATCH(G142,Categories!$B$5:$B$93,0)),"")</f>
        <v/>
      </c>
      <c r="I142" s="9" t="inlineStr">
        <is>
          <t>D</t>
        </is>
      </c>
      <c r="J142" s="9" t="inlineStr"/>
    </row>
    <row r="143">
      <c r="A143" s="9" t="inlineStr">
        <is>
          <t>Checking ...0861</t>
        </is>
      </c>
      <c r="B143" s="29" t="n">
        <v>46251</v>
      </c>
      <c r="C143" s="9" t="inlineStr">
        <is>
          <t>7-ELEVEN NEWCASTLE CA                        08/15</t>
        </is>
      </c>
      <c r="D143" s="10" t="n">
        <v>-11.98</v>
      </c>
      <c r="E143" s="9" t="inlineStr">
        <is>
          <t>DEBIT_CARD</t>
        </is>
      </c>
      <c r="F143" s="10" t="n">
        <v>3838.65</v>
      </c>
      <c r="G143" s="9" t="inlineStr">
        <is>
          <t>Gas</t>
        </is>
      </c>
      <c r="H143">
        <f>IFERROR(INDEX(Categories!$A$5:$A$93,MATCH(G143,Categories!$B$5:$B$93,0)),"")</f>
        <v/>
      </c>
      <c r="I143" s="9" t="inlineStr">
        <is>
          <t>D</t>
        </is>
      </c>
      <c r="J143" s="9" t="inlineStr"/>
    </row>
    <row r="144">
      <c r="A144" s="9" t="inlineStr">
        <is>
          <t>Checking ...0861</t>
        </is>
      </c>
      <c r="B144" s="29" t="n">
        <v>46251</v>
      </c>
      <c r="C144" s="9" t="inlineStr">
        <is>
          <t>CITYOFSAC-OFFSTREETPAY SACRAMENTO CA         08/15</t>
        </is>
      </c>
      <c r="D144" s="10" t="n">
        <v>-20</v>
      </c>
      <c r="E144" s="9" t="inlineStr">
        <is>
          <t>DEBIT_CARD</t>
        </is>
      </c>
      <c r="F144" s="10" t="n">
        <v>3850.63</v>
      </c>
      <c r="G144" s="9" t="inlineStr">
        <is>
          <t>For Car</t>
        </is>
      </c>
      <c r="H144">
        <f>IFERROR(INDEX(Categories!$A$5:$A$93,MATCH(G144,Categories!$B$5:$B$93,0)),"")</f>
        <v/>
      </c>
      <c r="I144" s="9" t="inlineStr">
        <is>
          <t>D</t>
        </is>
      </c>
      <c r="J144" s="9" t="inlineStr">
        <is>
          <t>Parking charge, defaulted to For Car</t>
        </is>
      </c>
    </row>
    <row r="145">
      <c r="A145" s="9" t="inlineStr">
        <is>
          <t>Checking ...0861</t>
        </is>
      </c>
      <c r="B145" s="29" t="n">
        <v>46251</v>
      </c>
      <c r="C145" s="9" t="inlineStr">
        <is>
          <t>CARLS JR 0801 TRACY CA                       08/15</t>
        </is>
      </c>
      <c r="D145" s="10" t="n">
        <v>-18.47</v>
      </c>
      <c r="E145" s="9" t="inlineStr">
        <is>
          <t>DEBIT_CARD</t>
        </is>
      </c>
      <c r="F145" s="10" t="n">
        <v>3870.63</v>
      </c>
      <c r="G145" s="9" t="inlineStr">
        <is>
          <t>Food - Eat Out</t>
        </is>
      </c>
      <c r="H145">
        <f>IFERROR(INDEX(Categories!$A$5:$A$93,MATCH(G145,Categories!$B$5:$B$93,0)),"")</f>
        <v/>
      </c>
      <c r="I145" s="9" t="inlineStr">
        <is>
          <t>D</t>
        </is>
      </c>
      <c r="J145" s="9" t="inlineStr">
        <is>
          <t>Restaurant/fast-food - defaulted to Eat Out; move to Food - Ailynn/Chris/Misc if you know whose order it was</t>
        </is>
      </c>
    </row>
    <row r="146">
      <c r="A146" s="9" t="inlineStr">
        <is>
          <t>Checking ...0861</t>
        </is>
      </c>
      <c r="B146" s="29" t="n">
        <v>46251</v>
      </c>
      <c r="C146" s="9" t="inlineStr">
        <is>
          <t>SHELL SERVICE STATION GILROY CA      230935  08/15</t>
        </is>
      </c>
      <c r="D146" s="10" t="n">
        <v>-21.38</v>
      </c>
      <c r="E146" s="9" t="inlineStr">
        <is>
          <t>DEBIT_CARD</t>
        </is>
      </c>
      <c r="F146" s="10" t="n">
        <v>3889.1</v>
      </c>
      <c r="G146" s="9" t="inlineStr">
        <is>
          <t>Gas</t>
        </is>
      </c>
      <c r="H146">
        <f>IFERROR(INDEX(Categories!$A$5:$A$93,MATCH(G146,Categories!$B$5:$B$93,0)),"")</f>
        <v/>
      </c>
      <c r="I146" s="9" t="inlineStr">
        <is>
          <t>D</t>
        </is>
      </c>
      <c r="J146" s="9" t="inlineStr"/>
    </row>
    <row r="147">
      <c r="A147" s="9" t="inlineStr">
        <is>
          <t>Checking ...0861</t>
        </is>
      </c>
      <c r="B147" s="29" t="n">
        <v>46251</v>
      </c>
      <c r="C147" s="9" t="inlineStr">
        <is>
          <t>SHELL OIL 10010249000 GILROY CA              08/15</t>
        </is>
      </c>
      <c r="D147" s="10" t="n">
        <v>-43.88</v>
      </c>
      <c r="E147" s="9" t="inlineStr">
        <is>
          <t>DEBIT_CARD</t>
        </is>
      </c>
      <c r="F147" s="10" t="n">
        <v>3910.48</v>
      </c>
      <c r="G147" s="9" t="inlineStr">
        <is>
          <t>Gas</t>
        </is>
      </c>
      <c r="H147">
        <f>IFERROR(INDEX(Categories!$A$5:$A$93,MATCH(G147,Categories!$B$5:$B$93,0)),"")</f>
        <v/>
      </c>
      <c r="I147" s="9" t="inlineStr">
        <is>
          <t>D</t>
        </is>
      </c>
      <c r="J147" s="9" t="inlineStr"/>
    </row>
    <row r="148">
      <c r="A148" s="9" t="inlineStr">
        <is>
          <t>Checking ...0861</t>
        </is>
      </c>
      <c r="B148" s="29" t="n">
        <v>46251</v>
      </c>
      <c r="C148" s="9" t="inlineStr">
        <is>
          <t>WM SUPERCENTER #5751 SALINAS CA              08/14</t>
        </is>
      </c>
      <c r="D148" s="10" t="n">
        <v>-48.1</v>
      </c>
      <c r="E148" s="9" t="inlineStr">
        <is>
          <t>DEBIT_CARD</t>
        </is>
      </c>
      <c r="F148" s="10" t="n">
        <v>3954.36</v>
      </c>
      <c r="G148" s="9" t="inlineStr">
        <is>
          <t>Groceries - Walmart</t>
        </is>
      </c>
      <c r="H148">
        <f>IFERROR(INDEX(Categories!$A$5:$A$93,MATCH(G148,Categories!$B$5:$B$93,0)),"")</f>
        <v/>
      </c>
      <c r="I148" s="9" t="inlineStr">
        <is>
          <t>H</t>
        </is>
      </c>
      <c r="J148" s="9" t="inlineStr"/>
    </row>
    <row r="149">
      <c r="A149" s="9" t="inlineStr">
        <is>
          <t>Checking ...0861</t>
        </is>
      </c>
      <c r="B149" s="29" t="n">
        <v>46251</v>
      </c>
      <c r="C149" s="9" t="inlineStr">
        <is>
          <t>HABIT SALINAS 306 SALINAS CA                 08/14</t>
        </is>
      </c>
      <c r="D149" s="10" t="n">
        <v>-26.31</v>
      </c>
      <c r="E149" s="9" t="inlineStr">
        <is>
          <t>DEBIT_CARD</t>
        </is>
      </c>
      <c r="F149" s="10" t="n">
        <v>4002.46</v>
      </c>
      <c r="G149" s="9" t="inlineStr">
        <is>
          <t>Food - Eat Out</t>
        </is>
      </c>
      <c r="H149">
        <f>IFERROR(INDEX(Categories!$A$5:$A$93,MATCH(G149,Categories!$B$5:$B$93,0)),"")</f>
        <v/>
      </c>
      <c r="I149" s="9" t="inlineStr">
        <is>
          <t>D</t>
        </is>
      </c>
      <c r="J149" s="9" t="inlineStr">
        <is>
          <t>Restaurant/fast-food - defaulted to Eat Out; move to Food - Ailynn/Chris/Misc if you know whose order it was</t>
        </is>
      </c>
    </row>
    <row r="150">
      <c r="A150" s="9" t="inlineStr">
        <is>
          <t>Checking ...0861</t>
        </is>
      </c>
      <c r="B150" s="29" t="n">
        <v>46251</v>
      </c>
      <c r="C150" s="9" t="inlineStr">
        <is>
          <t>HABIT SALINAS 306 SALINAS CA                 08/14</t>
        </is>
      </c>
      <c r="D150" s="10" t="n">
        <v>-30.79</v>
      </c>
      <c r="E150" s="9" t="inlineStr">
        <is>
          <t>DEBIT_CARD</t>
        </is>
      </c>
      <c r="F150" s="10" t="n">
        <v>4028.77</v>
      </c>
      <c r="G150" s="9" t="inlineStr">
        <is>
          <t>Food - Eat Out</t>
        </is>
      </c>
      <c r="H150">
        <f>IFERROR(INDEX(Categories!$A$5:$A$93,MATCH(G150,Categories!$B$5:$B$93,0)),"")</f>
        <v/>
      </c>
      <c r="I150" s="9" t="inlineStr">
        <is>
          <t>D</t>
        </is>
      </c>
      <c r="J150" s="9" t="inlineStr">
        <is>
          <t>Restaurant/fast-food - defaulted to Eat Out; move to Food - Ailynn/Chris/Misc if you know whose order it was</t>
        </is>
      </c>
    </row>
    <row r="151">
      <c r="A151" s="9" t="inlineStr">
        <is>
          <t>Checking ...0861</t>
        </is>
      </c>
      <c r="B151" s="29" t="n">
        <v>46251</v>
      </c>
      <c r="C151" s="9" t="inlineStr">
        <is>
          <t>KLARNA* KLARNA KLARNA.COM OH                 08/14</t>
        </is>
      </c>
      <c r="D151" s="10" t="n">
        <v>-7.34</v>
      </c>
      <c r="E151" s="9" t="inlineStr">
        <is>
          <t>DEBIT_CARD</t>
        </is>
      </c>
      <c r="F151" s="10" t="n">
        <v>4059.56</v>
      </c>
      <c r="G151" s="9" t="inlineStr">
        <is>
          <t>Klarna</t>
        </is>
      </c>
      <c r="H151">
        <f>IFERROR(INDEX(Categories!$A$5:$A$93,MATCH(G151,Categories!$B$5:$B$93,0)),"")</f>
        <v/>
      </c>
      <c r="I151" s="9" t="inlineStr">
        <is>
          <t>H</t>
        </is>
      </c>
      <c r="J151" s="9" t="inlineStr"/>
    </row>
    <row r="152">
      <c r="A152" s="9" t="inlineStr">
        <is>
          <t>Checking ...0861</t>
        </is>
      </c>
      <c r="B152" s="29" t="n">
        <v>46251</v>
      </c>
      <c r="C152" s="9" t="inlineStr">
        <is>
          <t>Chua Tinsay  Vega AP San Francisco CA        08/15</t>
        </is>
      </c>
      <c r="D152" s="10" t="n">
        <v>-200</v>
      </c>
      <c r="E152" s="9" t="inlineStr">
        <is>
          <t>DEBIT_CARD</t>
        </is>
      </c>
      <c r="F152" s="10" t="n">
        <v>4066.9</v>
      </c>
      <c r="G152" s="9" t="inlineStr">
        <is>
          <t>Atty Chua</t>
        </is>
      </c>
      <c r="H152">
        <f>IFERROR(INDEX(Categories!$A$5:$A$93,MATCH(G152,Categories!$B$5:$B$93,0)),"")</f>
        <v/>
      </c>
      <c r="I152" s="9" t="inlineStr">
        <is>
          <t>H</t>
        </is>
      </c>
      <c r="J152" s="9" t="inlineStr"/>
    </row>
    <row r="153">
      <c r="A153" s="9" t="inlineStr">
        <is>
          <t>Checking ...0861</t>
        </is>
      </c>
      <c r="B153" s="29" t="n">
        <v>46251</v>
      </c>
      <c r="C153" s="9" t="inlineStr">
        <is>
          <t>KLARNA* KLARNA KLARNA.COM OH                 08/14</t>
        </is>
      </c>
      <c r="D153" s="10" t="n">
        <v>-13.18</v>
      </c>
      <c r="E153" s="9" t="inlineStr">
        <is>
          <t>DEBIT_CARD</t>
        </is>
      </c>
      <c r="F153" s="10" t="n">
        <v>4266.9</v>
      </c>
      <c r="G153" s="9" t="inlineStr">
        <is>
          <t>Klarna</t>
        </is>
      </c>
      <c r="H153">
        <f>IFERROR(INDEX(Categories!$A$5:$A$93,MATCH(G153,Categories!$B$5:$B$93,0)),"")</f>
        <v/>
      </c>
      <c r="I153" s="9" t="inlineStr">
        <is>
          <t>H</t>
        </is>
      </c>
      <c r="J153" s="9" t="inlineStr"/>
    </row>
    <row r="154">
      <c r="A154" s="9" t="inlineStr">
        <is>
          <t>Checking ...0861</t>
        </is>
      </c>
      <c r="B154" s="29" t="n">
        <v>46251</v>
      </c>
      <c r="C154" s="9" t="inlineStr">
        <is>
          <t>LITTLE CAESARS #5056 800-722-3727 CA         08/13</t>
        </is>
      </c>
      <c r="D154" s="10" t="n">
        <v>-40.8</v>
      </c>
      <c r="E154" s="9" t="inlineStr">
        <is>
          <t>DEBIT_CARD</t>
        </is>
      </c>
      <c r="F154" s="10" t="n">
        <v>4280.08</v>
      </c>
      <c r="G154" s="9" t="inlineStr">
        <is>
          <t>Food - Eat Out</t>
        </is>
      </c>
      <c r="H154">
        <f>IFERROR(INDEX(Categories!$A$5:$A$93,MATCH(G154,Categories!$B$5:$B$93,0)),"")</f>
        <v/>
      </c>
      <c r="I154" s="9" t="inlineStr">
        <is>
          <t>D</t>
        </is>
      </c>
      <c r="J154" s="9" t="inlineStr">
        <is>
          <t>Restaurant/fast-food - defaulted to Eat Out; move to Food - Ailynn/Chris/Misc if you know whose order it was</t>
        </is>
      </c>
    </row>
    <row r="155">
      <c r="A155" s="9" t="inlineStr">
        <is>
          <t>Checking ...0861</t>
        </is>
      </c>
      <c r="B155" s="29" t="n">
        <v>46251</v>
      </c>
      <c r="C155" s="9" t="inlineStr">
        <is>
          <t>ODP TRANSFER FROM SAVINGS ...5953</t>
        </is>
      </c>
      <c r="D155" s="10" t="n">
        <v>4320.88</v>
      </c>
      <c r="E155" s="9" t="inlineStr">
        <is>
          <t>MISC_CREDIT</t>
        </is>
      </c>
      <c r="F155" s="10" t="n">
        <v>4320.88</v>
      </c>
      <c r="G155" s="9" t="inlineStr">
        <is>
          <t>Transfer - Savings to Checking</t>
        </is>
      </c>
      <c r="H155">
        <f>IFERROR(INDEX(Categories!$A$5:$A$93,MATCH(G155,Categories!$B$5:$B$93,0)),"")</f>
        <v/>
      </c>
      <c r="I155" s="9" t="inlineStr">
        <is>
          <t>H</t>
        </is>
      </c>
      <c r="J155" s="9" t="inlineStr">
        <is>
          <t>Overdraft-protection auto-pull from savings</t>
        </is>
      </c>
    </row>
    <row r="156">
      <c r="A156" s="9" t="inlineStr">
        <is>
          <t>Checking ...0861</t>
        </is>
      </c>
      <c r="B156" s="29" t="n">
        <v>46248</v>
      </c>
      <c r="C156" s="9" t="inlineStr">
        <is>
          <t>THE HOME DEPOT #1843 SALINAS CA      612103  08/14</t>
        </is>
      </c>
      <c r="D156" s="10" t="n">
        <v>-16.49</v>
      </c>
      <c r="E156" s="9" t="inlineStr">
        <is>
          <t>DEBIT_CARD</t>
        </is>
      </c>
      <c r="F156" s="10" t="n">
        <v>0</v>
      </c>
      <c r="G156" s="9" t="inlineStr">
        <is>
          <t>Others</t>
        </is>
      </c>
      <c r="H156">
        <f>IFERROR(INDEX(Categories!$A$5:$A$93,MATCH(G156,Categories!$B$5:$B$93,0)),"")</f>
        <v/>
      </c>
      <c r="I156" s="9" t="inlineStr">
        <is>
          <t>D</t>
        </is>
      </c>
      <c r="J156" s="9" t="inlineStr">
        <is>
          <t>Home-improvement store - no matching category in your list</t>
        </is>
      </c>
    </row>
    <row r="157">
      <c r="A157" s="9" t="inlineStr">
        <is>
          <t>Checking ...0861</t>
        </is>
      </c>
      <c r="B157" s="29" t="n">
        <v>46248</v>
      </c>
      <c r="C157" s="9" t="inlineStr">
        <is>
          <t>PAYPAL           TRANSFER   ADD TO BALANCE  WEB ID: PAYPALSD22</t>
        </is>
      </c>
      <c r="D157" s="10" t="n">
        <v>-50</v>
      </c>
      <c r="E157" s="9" t="inlineStr">
        <is>
          <t>ACH_DEBIT</t>
        </is>
      </c>
      <c r="F157" s="10" t="n">
        <v>16.49</v>
      </c>
      <c r="G157" s="9" t="inlineStr">
        <is>
          <t>Transfer - Checking to PayPal</t>
        </is>
      </c>
      <c r="H157">
        <f>IFERROR(INDEX(Categories!$A$5:$A$93,MATCH(G157,Categories!$B$5:$B$93,0)),"")</f>
        <v/>
      </c>
      <c r="I157" s="9" t="inlineStr">
        <is>
          <t>H</t>
        </is>
      </c>
      <c r="J157" s="9" t="inlineStr"/>
    </row>
    <row r="158">
      <c r="A158" s="9" t="inlineStr">
        <is>
          <t>Checking ...0861</t>
        </is>
      </c>
      <c r="B158" s="29" t="n">
        <v>46248</v>
      </c>
      <c r="C158" s="9" t="inlineStr">
        <is>
          <t>SP+AFF * AEROFLOWDYNA 855-423-3729 CA        08/14</t>
        </is>
      </c>
      <c r="D158" s="10" t="n">
        <v>-19.56</v>
      </c>
      <c r="E158" s="9" t="inlineStr">
        <is>
          <t>DEBIT_CARD</t>
        </is>
      </c>
      <c r="F158" s="10" t="n">
        <v>66.48999999999999</v>
      </c>
      <c r="G158" s="9" t="inlineStr">
        <is>
          <t>Shop - Others</t>
        </is>
      </c>
      <c r="H158">
        <f>IFERROR(INDEX(Categories!$A$5:$A$93,MATCH(G158,Categories!$B$5:$B$93,0)),"")</f>
        <v/>
      </c>
      <c r="I158" s="9" t="inlineStr">
        <is>
          <t>R</t>
        </is>
      </c>
      <c r="J158" s="9" t="inlineStr">
        <is>
          <t>Small online-shop charge via an affiliate/Affirm-style processor - description doesn't name the actual store</t>
        </is>
      </c>
    </row>
    <row r="159">
      <c r="A159" s="9" t="inlineStr">
        <is>
          <t>Checking ...0861</t>
        </is>
      </c>
      <c r="B159" s="29" t="n">
        <v>46248</v>
      </c>
      <c r="C159" s="9" t="inlineStr">
        <is>
          <t>SP+AFF * EUFY US 855-423-3729 CA             08/14</t>
        </is>
      </c>
      <c r="D159" s="10" t="n">
        <v>-88.23999999999999</v>
      </c>
      <c r="E159" s="9" t="inlineStr">
        <is>
          <t>DEBIT_CARD</t>
        </is>
      </c>
      <c r="F159" s="10" t="n">
        <v>86.05</v>
      </c>
      <c r="G159" s="9" t="inlineStr">
        <is>
          <t>Shop - Others</t>
        </is>
      </c>
      <c r="H159">
        <f>IFERROR(INDEX(Categories!$A$5:$A$93,MATCH(G159,Categories!$B$5:$B$93,0)),"")</f>
        <v/>
      </c>
      <c r="I159" s="9" t="inlineStr">
        <is>
          <t>R</t>
        </is>
      </c>
      <c r="J159" s="9" t="inlineStr">
        <is>
          <t>Small online-shop charge via an affiliate/Affirm-style processor - description doesn't name the actual store</t>
        </is>
      </c>
    </row>
    <row r="160">
      <c r="A160" s="9" t="inlineStr">
        <is>
          <t>Checking ...0861</t>
        </is>
      </c>
      <c r="B160" s="29" t="n">
        <v>46248</v>
      </c>
      <c r="C160" s="9" t="inlineStr">
        <is>
          <t>AFFIRM.COM PAYME AFFIRM.COM ST-E0N0T4O0N8H9 WEB ID: 1800948598</t>
        </is>
      </c>
      <c r="D160" s="10" t="n">
        <v>-53.97</v>
      </c>
      <c r="E160" s="9" t="inlineStr">
        <is>
          <t>ACH_DEBIT</t>
        </is>
      </c>
      <c r="F160" s="10" t="n">
        <v>174.29</v>
      </c>
      <c r="G160" s="9" t="inlineStr">
        <is>
          <t>Affirm</t>
        </is>
      </c>
      <c r="H160">
        <f>IFERROR(INDEX(Categories!$A$5:$A$93,MATCH(G160,Categories!$B$5:$B$93,0)),"")</f>
        <v/>
      </c>
      <c r="I160" s="9" t="inlineStr">
        <is>
          <t>H</t>
        </is>
      </c>
      <c r="J160" s="9" t="inlineStr"/>
    </row>
    <row r="161">
      <c r="A161" s="9" t="inlineStr">
        <is>
          <t>Checking ...0861</t>
        </is>
      </c>
      <c r="B161" s="29" t="n">
        <v>46248</v>
      </c>
      <c r="C161" s="9" t="inlineStr">
        <is>
          <t>Sendwave 844-9335122 MA                      08/14</t>
        </is>
      </c>
      <c r="D161" s="10" t="n">
        <v>-100.49</v>
      </c>
      <c r="E161" s="9" t="inlineStr">
        <is>
          <t>DEBIT_CARD</t>
        </is>
      </c>
      <c r="F161" s="10" t="n">
        <v>228.26</v>
      </c>
      <c r="G161" s="9" t="inlineStr">
        <is>
          <t>Remittance - others</t>
        </is>
      </c>
      <c r="H161">
        <f>IFERROR(INDEX(Categories!$A$5:$A$93,MATCH(G161,Categories!$B$5:$B$93,0)),"")</f>
        <v/>
      </c>
      <c r="I161" s="9" t="inlineStr">
        <is>
          <t>R</t>
        </is>
      </c>
      <c r="J161" s="9" t="inlineStr">
        <is>
          <t>Remittance app transfer - recipient not shown; please tell me if this is Aron, Aron's tuition, or someone else</t>
        </is>
      </c>
    </row>
    <row r="162">
      <c r="A162" s="9" t="inlineStr">
        <is>
          <t>Checking ...0861</t>
        </is>
      </c>
      <c r="B162" s="29" t="n">
        <v>46248</v>
      </c>
      <c r="C162" s="9" t="inlineStr">
        <is>
          <t>WILLA A HISLE OD SALINAS CA                  08/13</t>
        </is>
      </c>
      <c r="D162" s="10" t="n">
        <v>-300.8</v>
      </c>
      <c r="E162" s="9" t="inlineStr">
        <is>
          <t>DEBIT_CARD</t>
        </is>
      </c>
      <c r="F162" s="10" t="n">
        <v>328.75</v>
      </c>
      <c r="G162" s="9" t="inlineStr">
        <is>
          <t>Others</t>
        </is>
      </c>
      <c r="H162">
        <f>IFERROR(INDEX(Categories!$A$5:$A$93,MATCH(G162,Categories!$B$5:$B$93,0)),"")</f>
        <v/>
      </c>
      <c r="I162" s="9" t="inlineStr">
        <is>
          <t>R</t>
        </is>
      </c>
      <c r="J162" s="9" t="inlineStr">
        <is>
          <t>Unrecognized charge - please tell me what this is</t>
        </is>
      </c>
    </row>
    <row r="163">
      <c r="A163" s="9" t="inlineStr">
        <is>
          <t>Checking ...0861</t>
        </is>
      </c>
      <c r="B163" s="29" t="n">
        <v>46248</v>
      </c>
      <c r="C163" s="9" t="inlineStr">
        <is>
          <t>ODP TRANSFER FROM SAVINGS ...5953</t>
        </is>
      </c>
      <c r="D163" s="10" t="n">
        <v>629.55</v>
      </c>
      <c r="E163" s="9" t="inlineStr">
        <is>
          <t>MISC_CREDIT</t>
        </is>
      </c>
      <c r="F163" s="10" t="n">
        <v>629.55</v>
      </c>
      <c r="G163" s="9" t="inlineStr">
        <is>
          <t>Transfer - Savings to Checking</t>
        </is>
      </c>
      <c r="H163">
        <f>IFERROR(INDEX(Categories!$A$5:$A$93,MATCH(G163,Categories!$B$5:$B$93,0)),"")</f>
        <v/>
      </c>
      <c r="I163" s="9" t="inlineStr">
        <is>
          <t>H</t>
        </is>
      </c>
      <c r="J163" s="9" t="inlineStr">
        <is>
          <t>Overdraft-protection auto-pull from savings</t>
        </is>
      </c>
    </row>
    <row r="164">
      <c r="A164" s="9" t="inlineStr">
        <is>
          <t>Checking ...0861</t>
        </is>
      </c>
      <c r="B164" s="29" t="n">
        <v>46247</v>
      </c>
      <c r="C164" s="9" t="inlineStr">
        <is>
          <t>LUCKY #747 SALINAS CA                        08/13</t>
        </is>
      </c>
      <c r="D164" s="10" t="n">
        <v>-63.08</v>
      </c>
      <c r="E164" s="9" t="inlineStr">
        <is>
          <t>DEBIT_CARD</t>
        </is>
      </c>
      <c r="F164" s="10" t="n">
        <v>0</v>
      </c>
      <c r="G164" s="9" t="inlineStr">
        <is>
          <t>Groceries - Others</t>
        </is>
      </c>
      <c r="H164">
        <f>IFERROR(INDEX(Categories!$A$5:$A$93,MATCH(G164,Categories!$B$5:$B$93,0)),"")</f>
        <v/>
      </c>
      <c r="I164" s="9" t="inlineStr">
        <is>
          <t>H</t>
        </is>
      </c>
      <c r="J164" s="9" t="inlineStr"/>
    </row>
    <row r="165">
      <c r="A165" s="9" t="inlineStr">
        <is>
          <t>Checking ...0861</t>
        </is>
      </c>
      <c r="B165" s="29" t="n">
        <v>46247</v>
      </c>
      <c r="C165" s="9" t="inlineStr">
        <is>
          <t>SHELL SERVICE STATION SALINAS CA     815316  08/13</t>
        </is>
      </c>
      <c r="D165" s="10" t="n">
        <v>-82.06</v>
      </c>
      <c r="E165" s="9" t="inlineStr">
        <is>
          <t>DEBIT_CARD</t>
        </is>
      </c>
      <c r="F165" s="10" t="n">
        <v>63.08</v>
      </c>
      <c r="G165" s="9" t="inlineStr">
        <is>
          <t>Gas</t>
        </is>
      </c>
      <c r="H165">
        <f>IFERROR(INDEX(Categories!$A$5:$A$93,MATCH(G165,Categories!$B$5:$B$93,0)),"")</f>
        <v/>
      </c>
      <c r="I165" s="9" t="inlineStr">
        <is>
          <t>D</t>
        </is>
      </c>
      <c r="J165" s="9" t="inlineStr"/>
    </row>
    <row r="166">
      <c r="A166" s="9" t="inlineStr">
        <is>
          <t>Checking ...0861</t>
        </is>
      </c>
      <c r="B166" s="29" t="n">
        <v>46247</v>
      </c>
      <c r="C166" s="9" t="inlineStr">
        <is>
          <t>PAYPAL           PURCHASE   APPLE.COM BILL  WEB ID: PAYPALSI77</t>
        </is>
      </c>
      <c r="D166" s="10" t="n">
        <v>-0.99</v>
      </c>
      <c r="E166" s="9" t="inlineStr">
        <is>
          <t>ACH_DEBIT</t>
        </is>
      </c>
      <c r="F166" s="10" t="n">
        <v>145.14</v>
      </c>
      <c r="G166" s="9" t="inlineStr">
        <is>
          <t>Others</t>
        </is>
      </c>
      <c r="H166">
        <f>IFERROR(INDEX(Categories!$A$5:$A$93,MATCH(G166,Categories!$B$5:$B$93,0)),"")</f>
        <v/>
      </c>
      <c r="I166" s="9" t="inlineStr">
        <is>
          <t>R</t>
        </is>
      </c>
      <c r="J166" s="9" t="inlineStr">
        <is>
          <t>Subscription/purchase via PayPal (Apple, Etsy, Google apps, Lyft, AARP, etc.) - no matching category</t>
        </is>
      </c>
    </row>
    <row r="167">
      <c r="A167" s="9" t="inlineStr">
        <is>
          <t>Checking ...0861</t>
        </is>
      </c>
      <c r="B167" s="29" t="n">
        <v>46247</v>
      </c>
      <c r="C167" s="9" t="inlineStr">
        <is>
          <t>Taptap Send New York NY                      08/13</t>
        </is>
      </c>
      <c r="D167" s="10" t="n">
        <v>-107.26</v>
      </c>
      <c r="E167" s="9" t="inlineStr">
        <is>
          <t>DEBIT_CARD</t>
        </is>
      </c>
      <c r="F167" s="10" t="n">
        <v>146.13</v>
      </c>
      <c r="G167" s="9" t="inlineStr">
        <is>
          <t>Remittance - others</t>
        </is>
      </c>
      <c r="H167">
        <f>IFERROR(INDEX(Categories!$A$5:$A$93,MATCH(G167,Categories!$B$5:$B$93,0)),"")</f>
        <v/>
      </c>
      <c r="I167" s="9" t="inlineStr">
        <is>
          <t>R</t>
        </is>
      </c>
      <c r="J167" s="9" t="inlineStr">
        <is>
          <t>Remittance app transfer - recipient not shown; please tell me if this is Aron, Aron's tuition, or someone else</t>
        </is>
      </c>
    </row>
    <row r="168">
      <c r="A168" s="9" t="inlineStr">
        <is>
          <t>Checking ...0861</t>
        </is>
      </c>
      <c r="B168" s="29" t="n">
        <v>46247</v>
      </c>
      <c r="C168" s="9" t="inlineStr">
        <is>
          <t>TST*MISSION STREET BBQ Santa Cruz CA         08/12</t>
        </is>
      </c>
      <c r="D168" s="10" t="n">
        <v>-23.02</v>
      </c>
      <c r="E168" s="9" t="inlineStr">
        <is>
          <t>DEBIT_CARD</t>
        </is>
      </c>
      <c r="F168" s="10" t="n">
        <v>253.39</v>
      </c>
      <c r="G168" s="9" t="inlineStr">
        <is>
          <t>Food - Eat Out</t>
        </is>
      </c>
      <c r="H168">
        <f>IFERROR(INDEX(Categories!$A$5:$A$93,MATCH(G168,Categories!$B$5:$B$93,0)),"")</f>
        <v/>
      </c>
      <c r="I168" s="9" t="inlineStr">
        <is>
          <t>D</t>
        </is>
      </c>
      <c r="J168" s="9" t="inlineStr">
        <is>
          <t>Restaurant/fast-food - defaulted to Eat Out; move to Food - Ailynn/Chris/Misc if you know whose order it was</t>
        </is>
      </c>
    </row>
    <row r="169">
      <c r="A169" s="9" t="inlineStr">
        <is>
          <t>Checking ...0861</t>
        </is>
      </c>
      <c r="B169" s="29" t="n">
        <v>46247</v>
      </c>
      <c r="C169" s="9" t="inlineStr">
        <is>
          <t>CHEVRON 0091927 WATSONVILLE CA               08/12</t>
        </is>
      </c>
      <c r="D169" s="10" t="n">
        <v>-71.76000000000001</v>
      </c>
      <c r="E169" s="9" t="inlineStr">
        <is>
          <t>DEBIT_CARD</t>
        </is>
      </c>
      <c r="F169" s="10" t="n">
        <v>276.41</v>
      </c>
      <c r="G169" s="9" t="inlineStr">
        <is>
          <t>Gas</t>
        </is>
      </c>
      <c r="H169">
        <f>IFERROR(INDEX(Categories!$A$5:$A$93,MATCH(G169,Categories!$B$5:$B$93,0)),"")</f>
        <v/>
      </c>
      <c r="I169" s="9" t="inlineStr">
        <is>
          <t>D</t>
        </is>
      </c>
      <c r="J169" s="9" t="inlineStr"/>
    </row>
    <row r="170">
      <c r="A170" s="9" t="inlineStr">
        <is>
          <t>Checking ...0861</t>
        </is>
      </c>
      <c r="B170" s="29" t="n">
        <v>46247</v>
      </c>
      <c r="C170" s="9" t="inlineStr">
        <is>
          <t>ODP TRANSFER FROM SAVINGS ...5953</t>
        </is>
      </c>
      <c r="D170" s="10" t="n">
        <v>348.17</v>
      </c>
      <c r="E170" s="9" t="inlineStr">
        <is>
          <t>MISC_CREDIT</t>
        </is>
      </c>
      <c r="F170" s="10" t="n">
        <v>348.17</v>
      </c>
      <c r="G170" s="9" t="inlineStr">
        <is>
          <t>Transfer - Savings to Checking</t>
        </is>
      </c>
      <c r="H170">
        <f>IFERROR(INDEX(Categories!$A$5:$A$93,MATCH(G170,Categories!$B$5:$B$93,0)),"")</f>
        <v/>
      </c>
      <c r="I170" s="9" t="inlineStr">
        <is>
          <t>H</t>
        </is>
      </c>
      <c r="J170" s="9" t="inlineStr">
        <is>
          <t>Overdraft-protection auto-pull from savings</t>
        </is>
      </c>
    </row>
    <row r="171">
      <c r="A171" s="9" t="inlineStr">
        <is>
          <t>Checking ...0861</t>
        </is>
      </c>
      <c r="B171" s="29" t="n">
        <v>46246</v>
      </c>
      <c r="C171" s="9" t="inlineStr">
        <is>
          <t>PAYPAL           INST XFER  PPCR CC REPAYME WEB ID: PAYPALSI77</t>
        </is>
      </c>
      <c r="D171" s="10" t="n">
        <v>-2</v>
      </c>
      <c r="E171" s="9" t="inlineStr">
        <is>
          <t>ACH_DEBIT</t>
        </is>
      </c>
      <c r="F171" s="10" t="n">
        <v>0</v>
      </c>
      <c r="G171" s="9" t="inlineStr">
        <is>
          <t>CC - paypal</t>
        </is>
      </c>
      <c r="H171">
        <f>IFERROR(INDEX(Categories!$A$5:$A$93,MATCH(G171,Categories!$B$5:$B$93,0)),"")</f>
        <v/>
      </c>
      <c r="I171" s="9" t="inlineStr">
        <is>
          <t>H</t>
        </is>
      </c>
      <c r="J171" s="9" t="inlineStr"/>
    </row>
    <row r="172">
      <c r="A172" s="9" t="inlineStr">
        <is>
          <t>Checking ...0861</t>
        </is>
      </c>
      <c r="B172" s="29" t="n">
        <v>46246</v>
      </c>
      <c r="C172" s="9" t="inlineStr">
        <is>
          <t>CITIZENS PAY     LINE OF CR 043000094052720 WEB ID: 9044036180</t>
        </is>
      </c>
      <c r="D172" s="10" t="n">
        <v>-8.66</v>
      </c>
      <c r="E172" s="9" t="inlineStr">
        <is>
          <t>ACH_DEBIT</t>
        </is>
      </c>
      <c r="F172" s="10" t="n">
        <v>2</v>
      </c>
      <c r="G172" s="9" t="inlineStr">
        <is>
          <t>CC - Citizen bank</t>
        </is>
      </c>
      <c r="H172">
        <f>IFERROR(INDEX(Categories!$A$5:$A$93,MATCH(G172,Categories!$B$5:$B$93,0)),"")</f>
        <v/>
      </c>
      <c r="I172" s="9" t="inlineStr">
        <is>
          <t>H</t>
        </is>
      </c>
      <c r="J172" s="9" t="inlineStr"/>
    </row>
    <row r="173">
      <c r="A173" s="9" t="inlineStr">
        <is>
          <t>Checking ...0861</t>
        </is>
      </c>
      <c r="B173" s="29" t="n">
        <v>46246</v>
      </c>
      <c r="C173" s="9" t="inlineStr">
        <is>
          <t>AMAZON.COM SERVI INTERNET   043000094078750 WEB ID: 9049016352</t>
        </is>
      </c>
      <c r="D173" s="10" t="n">
        <v>-19.56</v>
      </c>
      <c r="E173" s="9" t="inlineStr">
        <is>
          <t>ACH_DEBIT</t>
        </is>
      </c>
      <c r="F173" s="10" t="n">
        <v>10.66</v>
      </c>
      <c r="G173" s="9" t="inlineStr">
        <is>
          <t>Shop - Amazon</t>
        </is>
      </c>
      <c r="H173">
        <f>IFERROR(INDEX(Categories!$A$5:$A$93,MATCH(G173,Categories!$B$5:$B$93,0)),"")</f>
        <v/>
      </c>
      <c r="I173" s="9" t="inlineStr">
        <is>
          <t>H</t>
        </is>
      </c>
      <c r="J173" s="9" t="inlineStr"/>
    </row>
    <row r="174">
      <c r="A174" s="9" t="inlineStr">
        <is>
          <t>Checking ...0861</t>
        </is>
      </c>
      <c r="B174" s="29" t="n">
        <v>46246</v>
      </c>
      <c r="C174" s="9" t="inlineStr">
        <is>
          <t>GOHAN BUFFET SALINAS CA                      08/11</t>
        </is>
      </c>
      <c r="D174" s="10" t="n">
        <v>-153.45</v>
      </c>
      <c r="E174" s="9" t="inlineStr">
        <is>
          <t>DEBIT_CARD</t>
        </is>
      </c>
      <c r="F174" s="10" t="n">
        <v>30.22</v>
      </c>
      <c r="G174" s="9" t="inlineStr">
        <is>
          <t>Food - Eat Out</t>
        </is>
      </c>
      <c r="H174">
        <f>IFERROR(INDEX(Categories!$A$5:$A$93,MATCH(G174,Categories!$B$5:$B$93,0)),"")</f>
        <v/>
      </c>
      <c r="I174" s="9" t="inlineStr">
        <is>
          <t>D</t>
        </is>
      </c>
      <c r="J174" s="9" t="inlineStr">
        <is>
          <t>Restaurant/fast-food - defaulted to Eat Out; move to Food - Ailynn/Chris/Misc if you know whose order it was</t>
        </is>
      </c>
    </row>
    <row r="175">
      <c r="A175" s="9" t="inlineStr">
        <is>
          <t>Checking ...0861</t>
        </is>
      </c>
      <c r="B175" s="29" t="n">
        <v>46246</v>
      </c>
      <c r="C175" s="9" t="inlineStr">
        <is>
          <t>REPUBLIC SVCS OF SALINA SALINAS CA           08/11</t>
        </is>
      </c>
      <c r="D175" s="10" t="n">
        <v>-39</v>
      </c>
      <c r="E175" s="9" t="inlineStr">
        <is>
          <t>DEBIT_CARD</t>
        </is>
      </c>
      <c r="F175" s="10" t="n">
        <v>183.67</v>
      </c>
      <c r="G175" s="9" t="inlineStr">
        <is>
          <t>Waste Management</t>
        </is>
      </c>
      <c r="H175">
        <f>IFERROR(INDEX(Categories!$A$5:$A$93,MATCH(G175,Categories!$B$5:$B$93,0)),"")</f>
        <v/>
      </c>
      <c r="I175" s="9" t="inlineStr">
        <is>
          <t>H</t>
        </is>
      </c>
      <c r="J175" s="9" t="inlineStr"/>
    </row>
    <row r="176">
      <c r="A176" s="9" t="inlineStr">
        <is>
          <t>Checking ...0861</t>
        </is>
      </c>
      <c r="B176" s="29" t="n">
        <v>46246</v>
      </c>
      <c r="C176" s="9" t="inlineStr">
        <is>
          <t>U-HAULMCBRIDES AUTO &amp; S SALINAS CA           08/11</t>
        </is>
      </c>
      <c r="D176" s="10" t="n">
        <v>-48.37</v>
      </c>
      <c r="E176" s="9" t="inlineStr">
        <is>
          <t>DEBIT_CARD</t>
        </is>
      </c>
      <c r="F176" s="10" t="n">
        <v>222.67</v>
      </c>
      <c r="G176" s="9" t="inlineStr">
        <is>
          <t>For Car</t>
        </is>
      </c>
      <c r="H176">
        <f>IFERROR(INDEX(Categories!$A$5:$A$93,MATCH(G176,Categories!$B$5:$B$93,0)),"")</f>
        <v/>
      </c>
      <c r="I176" s="9" t="inlineStr">
        <is>
          <t>H</t>
        </is>
      </c>
      <c r="J176" s="9" t="inlineStr"/>
    </row>
    <row r="177">
      <c r="A177" s="9" t="inlineStr">
        <is>
          <t>Checking ...0861</t>
        </is>
      </c>
      <c r="B177" s="29" t="n">
        <v>46246</v>
      </c>
      <c r="C177" s="9" t="inlineStr">
        <is>
          <t>ODP TRANSFER FROM SAVINGS ...5953</t>
        </is>
      </c>
      <c r="D177" s="10" t="n">
        <v>271.04</v>
      </c>
      <c r="E177" s="9" t="inlineStr">
        <is>
          <t>MISC_CREDIT</t>
        </is>
      </c>
      <c r="F177" s="10" t="n">
        <v>271.04</v>
      </c>
      <c r="G177" s="9" t="inlineStr">
        <is>
          <t>Transfer - Savings to Checking</t>
        </is>
      </c>
      <c r="H177">
        <f>IFERROR(INDEX(Categories!$A$5:$A$93,MATCH(G177,Categories!$B$5:$B$93,0)),"")</f>
        <v/>
      </c>
      <c r="I177" s="9" t="inlineStr">
        <is>
          <t>H</t>
        </is>
      </c>
      <c r="J177" s="9" t="inlineStr">
        <is>
          <t>Overdraft-protection auto-pull from savings</t>
        </is>
      </c>
    </row>
    <row r="178">
      <c r="A178" s="9" t="inlineStr">
        <is>
          <t>Checking ...0861</t>
        </is>
      </c>
      <c r="B178" s="29" t="n">
        <v>46245</v>
      </c>
      <c r="C178" s="9" t="inlineStr">
        <is>
          <t>LIFE INS OF SW   XXXXXXXXXX                 PPD ID: 1954349000</t>
        </is>
      </c>
      <c r="D178" s="10" t="n">
        <v>-205.62</v>
      </c>
      <c r="E178" s="9" t="inlineStr">
        <is>
          <t>ACH_DEBIT</t>
        </is>
      </c>
      <c r="F178" s="10" t="n">
        <v>0</v>
      </c>
      <c r="G178" s="9" t="inlineStr">
        <is>
          <t>National Life Ins</t>
        </is>
      </c>
      <c r="H178">
        <f>IFERROR(INDEX(Categories!$A$5:$A$93,MATCH(G178,Categories!$B$5:$B$93,0)),"")</f>
        <v/>
      </c>
      <c r="I178" s="9" t="inlineStr">
        <is>
          <t>H</t>
        </is>
      </c>
      <c r="J178" s="9" t="inlineStr"/>
    </row>
    <row r="179">
      <c r="A179" s="9" t="inlineStr">
        <is>
          <t>Checking ...0861</t>
        </is>
      </c>
      <c r="B179" s="29" t="n">
        <v>46245</v>
      </c>
      <c r="C179" s="9" t="inlineStr">
        <is>
          <t>AFFIRM.COM PAYME AFFIRM.COM ST-T7M9Z4G0M5Y3 WEB ID: 1800948598</t>
        </is>
      </c>
      <c r="D179" s="10" t="n">
        <v>-23.62</v>
      </c>
      <c r="E179" s="9" t="inlineStr">
        <is>
          <t>ACH_DEBIT</t>
        </is>
      </c>
      <c r="F179" s="10" t="n">
        <v>205.62</v>
      </c>
      <c r="G179" s="9" t="inlineStr">
        <is>
          <t>Affirm</t>
        </is>
      </c>
      <c r="H179">
        <f>IFERROR(INDEX(Categories!$A$5:$A$93,MATCH(G179,Categories!$B$5:$B$93,0)),"")</f>
        <v/>
      </c>
      <c r="I179" s="9" t="inlineStr">
        <is>
          <t>H</t>
        </is>
      </c>
      <c r="J179" s="9" t="inlineStr"/>
    </row>
    <row r="180">
      <c r="A180" s="9" t="inlineStr">
        <is>
          <t>Checking ...0861</t>
        </is>
      </c>
      <c r="B180" s="29" t="n">
        <v>46245</v>
      </c>
      <c r="C180" s="9" t="inlineStr">
        <is>
          <t>WestlakeSvcs     8887399192 C26081004000959 WEB ID: 4871475048</t>
        </is>
      </c>
      <c r="D180" s="10" t="n">
        <v>-223.53</v>
      </c>
      <c r="E180" s="9" t="inlineStr">
        <is>
          <t>ACH_DEBIT</t>
        </is>
      </c>
      <c r="F180" s="10" t="n">
        <v>229.24</v>
      </c>
      <c r="G180" s="9" t="inlineStr">
        <is>
          <t>Auto Loan - Honda</t>
        </is>
      </c>
      <c r="H180">
        <f>IFERROR(INDEX(Categories!$A$5:$A$93,MATCH(G180,Categories!$B$5:$B$93,0)),"")</f>
        <v/>
      </c>
      <c r="I180" s="9" t="inlineStr">
        <is>
          <t>R</t>
        </is>
      </c>
      <c r="J180" s="9" t="inlineStr">
        <is>
          <t>Westlake Financial payment - assumed Honda auto loan, please confirm</t>
        </is>
      </c>
    </row>
    <row r="181">
      <c r="A181" s="9" t="inlineStr">
        <is>
          <t>Checking ...0861</t>
        </is>
      </c>
      <c r="B181" s="29" t="n">
        <v>46245</v>
      </c>
      <c r="C181" s="9" t="inlineStr">
        <is>
          <t>WestlakeSvcs     8887399192 C26081004000960 WEB ID: 4871475048</t>
        </is>
      </c>
      <c r="D181" s="10" t="n">
        <v>-276.47</v>
      </c>
      <c r="E181" s="9" t="inlineStr">
        <is>
          <t>ACH_DEBIT</t>
        </is>
      </c>
      <c r="F181" s="10" t="n">
        <v>452.77</v>
      </c>
      <c r="G181" s="9" t="inlineStr">
        <is>
          <t>Auto Loan - Honda</t>
        </is>
      </c>
      <c r="H181">
        <f>IFERROR(INDEX(Categories!$A$5:$A$93,MATCH(G181,Categories!$B$5:$B$93,0)),"")</f>
        <v/>
      </c>
      <c r="I181" s="9" t="inlineStr">
        <is>
          <t>R</t>
        </is>
      </c>
      <c r="J181" s="9" t="inlineStr">
        <is>
          <t>Westlake Financial payment - assumed Honda auto loan, please confirm</t>
        </is>
      </c>
    </row>
    <row r="182">
      <c r="A182" s="9" t="inlineStr">
        <is>
          <t>Checking ...0861</t>
        </is>
      </c>
      <c r="B182" s="29" t="n">
        <v>46245</v>
      </c>
      <c r="C182" s="9" t="inlineStr">
        <is>
          <t>Sendwave 844-9335122 MA                      08/11</t>
        </is>
      </c>
      <c r="D182" s="10" t="n">
        <v>-17.02</v>
      </c>
      <c r="E182" s="9" t="inlineStr">
        <is>
          <t>DEBIT_CARD</t>
        </is>
      </c>
      <c r="F182" s="10" t="n">
        <v>729.24</v>
      </c>
      <c r="G182" s="9" t="inlineStr">
        <is>
          <t>Remittance - others</t>
        </is>
      </c>
      <c r="H182">
        <f>IFERROR(INDEX(Categories!$A$5:$A$93,MATCH(G182,Categories!$B$5:$B$93,0)),"")</f>
        <v/>
      </c>
      <c r="I182" s="9" t="inlineStr">
        <is>
          <t>R</t>
        </is>
      </c>
      <c r="J182" s="9" t="inlineStr">
        <is>
          <t>Remittance app transfer - recipient not shown; please tell me if this is Aron, Aron's tuition, or someone else</t>
        </is>
      </c>
    </row>
    <row r="183">
      <c r="A183" s="9" t="inlineStr">
        <is>
          <t>Checking ...0861</t>
        </is>
      </c>
      <c r="B183" s="29" t="n">
        <v>46245</v>
      </c>
      <c r="C183" s="9" t="inlineStr">
        <is>
          <t>KLARNA*WHEELTOP.US WWW.KLARNA.CO DE          08/11</t>
        </is>
      </c>
      <c r="D183" s="10" t="n">
        <v>-66.34999999999999</v>
      </c>
      <c r="E183" s="9" t="inlineStr">
        <is>
          <t>DEBIT_CARD</t>
        </is>
      </c>
      <c r="F183" s="10" t="n">
        <v>746.26</v>
      </c>
      <c r="G183" s="9" t="inlineStr">
        <is>
          <t>Klarna</t>
        </is>
      </c>
      <c r="H183">
        <f>IFERROR(INDEX(Categories!$A$5:$A$93,MATCH(G183,Categories!$B$5:$B$93,0)),"")</f>
        <v/>
      </c>
      <c r="I183" s="9" t="inlineStr">
        <is>
          <t>H</t>
        </is>
      </c>
      <c r="J183" s="9" t="inlineStr"/>
    </row>
    <row r="184">
      <c r="A184" s="9" t="inlineStr">
        <is>
          <t>Checking ...0861</t>
        </is>
      </c>
      <c r="B184" s="29" t="n">
        <v>46245</v>
      </c>
      <c r="C184" s="9" t="inlineStr">
        <is>
          <t>WAL-MART #5751 SALINAS CA                    08/10</t>
        </is>
      </c>
      <c r="D184" s="10" t="n">
        <v>-26.5</v>
      </c>
      <c r="E184" s="9" t="inlineStr">
        <is>
          <t>DEBIT_CARD</t>
        </is>
      </c>
      <c r="F184" s="10" t="n">
        <v>812.61</v>
      </c>
      <c r="G184" s="9" t="inlineStr">
        <is>
          <t>Groceries - Walmart</t>
        </is>
      </c>
      <c r="H184">
        <f>IFERROR(INDEX(Categories!$A$5:$A$93,MATCH(G184,Categories!$B$5:$B$93,0)),"")</f>
        <v/>
      </c>
      <c r="I184" s="9" t="inlineStr">
        <is>
          <t>H</t>
        </is>
      </c>
      <c r="J184" s="9" t="inlineStr"/>
    </row>
    <row r="185">
      <c r="A185" s="9" t="inlineStr">
        <is>
          <t>Checking ...0861</t>
        </is>
      </c>
      <c r="B185" s="29" t="n">
        <v>46245</v>
      </c>
      <c r="C185" s="9" t="inlineStr">
        <is>
          <t>THE HOME DEPOT #1843 SALINAS CA      221289  08/10</t>
        </is>
      </c>
      <c r="D185" s="10" t="n">
        <v>-63.09</v>
      </c>
      <c r="E185" s="9" t="inlineStr">
        <is>
          <t>DEBIT_CARD</t>
        </is>
      </c>
      <c r="F185" s="10" t="n">
        <v>839.11</v>
      </c>
      <c r="G185" s="9" t="inlineStr">
        <is>
          <t>Others</t>
        </is>
      </c>
      <c r="H185">
        <f>IFERROR(INDEX(Categories!$A$5:$A$93,MATCH(G185,Categories!$B$5:$B$93,0)),"")</f>
        <v/>
      </c>
      <c r="I185" s="9" t="inlineStr">
        <is>
          <t>D</t>
        </is>
      </c>
      <c r="J185" s="9" t="inlineStr">
        <is>
          <t>Home-improvement store - no matching category in your list</t>
        </is>
      </c>
    </row>
    <row r="186">
      <c r="A186" s="9" t="inlineStr">
        <is>
          <t>Checking ...0861</t>
        </is>
      </c>
      <c r="B186" s="29" t="n">
        <v>46245</v>
      </c>
      <c r="C186" s="9" t="inlineStr">
        <is>
          <t>BURGER KING #13730 SALINAS CA                08/10</t>
        </is>
      </c>
      <c r="D186" s="10" t="n">
        <v>-48.51</v>
      </c>
      <c r="E186" s="9" t="inlineStr">
        <is>
          <t>DEBIT_CARD</t>
        </is>
      </c>
      <c r="F186" s="10" t="n">
        <v>902.2</v>
      </c>
      <c r="G186" s="9" t="inlineStr">
        <is>
          <t>Food - Eat Out</t>
        </is>
      </c>
      <c r="H186">
        <f>IFERROR(INDEX(Categories!$A$5:$A$93,MATCH(G186,Categories!$B$5:$B$93,0)),"")</f>
        <v/>
      </c>
      <c r="I186" s="9" t="inlineStr">
        <is>
          <t>D</t>
        </is>
      </c>
      <c r="J186" s="9" t="inlineStr">
        <is>
          <t>Restaurant/fast-food - defaulted to Eat Out; move to Food - Ailynn/Chris/Misc if you know whose order it was</t>
        </is>
      </c>
    </row>
    <row r="187">
      <c r="A187" s="9" t="inlineStr">
        <is>
          <t>Checking ...0861</t>
        </is>
      </c>
      <c r="B187" s="29" t="n">
        <v>46245</v>
      </c>
      <c r="C187" s="9" t="inlineStr">
        <is>
          <t>WINGSTOP 2088 650-019-7954 CA                08/10</t>
        </is>
      </c>
      <c r="D187" s="10" t="n">
        <v>-60.32</v>
      </c>
      <c r="E187" s="9" t="inlineStr">
        <is>
          <t>DEBIT_CARD</t>
        </is>
      </c>
      <c r="F187" s="10" t="n">
        <v>950.71</v>
      </c>
      <c r="G187" s="9" t="inlineStr">
        <is>
          <t>Food - Eat Out</t>
        </is>
      </c>
      <c r="H187">
        <f>IFERROR(INDEX(Categories!$A$5:$A$93,MATCH(G187,Categories!$B$5:$B$93,0)),"")</f>
        <v/>
      </c>
      <c r="I187" s="9" t="inlineStr">
        <is>
          <t>D</t>
        </is>
      </c>
      <c r="J187" s="9" t="inlineStr">
        <is>
          <t>Restaurant/fast-food - defaulted to Eat Out; move to Food - Ailynn/Chris/Misc if you know whose order it was</t>
        </is>
      </c>
    </row>
    <row r="188">
      <c r="A188" s="9" t="inlineStr">
        <is>
          <t>Checking ...0861</t>
        </is>
      </c>
      <c r="B188" s="29" t="n">
        <v>46245</v>
      </c>
      <c r="C188" s="9" t="inlineStr">
        <is>
          <t>AMAZON MARKETPLA ADJUSTMENT                 PPD ID: 9049016352</t>
        </is>
      </c>
      <c r="D188" s="10" t="n">
        <v>43.49</v>
      </c>
      <c r="E188" s="9" t="inlineStr">
        <is>
          <t>ACH_CREDIT</t>
        </is>
      </c>
      <c r="F188" s="10" t="n">
        <v>1011.03</v>
      </c>
      <c r="G188" s="9" t="inlineStr">
        <is>
          <t>Shop - Amazon returns</t>
        </is>
      </c>
      <c r="H188">
        <f>IFERROR(INDEX(Categories!$A$5:$A$93,MATCH(G188,Categories!$B$5:$B$93,0)),"")</f>
        <v/>
      </c>
      <c r="I188" s="9" t="inlineStr">
        <is>
          <t>H</t>
        </is>
      </c>
      <c r="J188" s="9" t="inlineStr"/>
    </row>
    <row r="189">
      <c r="A189" s="9" t="inlineStr">
        <is>
          <t>Checking ...0861</t>
        </is>
      </c>
      <c r="B189" s="29" t="n">
        <v>46245</v>
      </c>
      <c r="C189" s="9" t="inlineStr">
        <is>
          <t>ODP TRANSFER FROM SAVINGS ...5953</t>
        </is>
      </c>
      <c r="D189" s="10" t="n">
        <v>586.39</v>
      </c>
      <c r="E189" s="9" t="inlineStr">
        <is>
          <t>MISC_CREDIT</t>
        </is>
      </c>
      <c r="F189" s="10" t="n">
        <v>967.54</v>
      </c>
      <c r="G189" s="9" t="inlineStr">
        <is>
          <t>Transfer - Savings to Checking</t>
        </is>
      </c>
      <c r="H189">
        <f>IFERROR(INDEX(Categories!$A$5:$A$93,MATCH(G189,Categories!$B$5:$B$93,0)),"")</f>
        <v/>
      </c>
      <c r="I189" s="9" t="inlineStr">
        <is>
          <t>H</t>
        </is>
      </c>
      <c r="J189" s="9" t="inlineStr">
        <is>
          <t>Overdraft-protection auto-pull from savings</t>
        </is>
      </c>
    </row>
    <row r="190">
      <c r="A190" s="9" t="inlineStr">
        <is>
          <t>Checking ...0861</t>
        </is>
      </c>
      <c r="B190" s="29" t="n">
        <v>46244</v>
      </c>
      <c r="C190" s="9" t="inlineStr">
        <is>
          <t>O'REILLY 2991 SALINAS CA             539250  08/10</t>
        </is>
      </c>
      <c r="D190" s="10" t="n">
        <v>-12.01</v>
      </c>
      <c r="E190" s="9" t="inlineStr">
        <is>
          <t>DEBIT_CARD</t>
        </is>
      </c>
      <c r="F190" s="10" t="n">
        <v>381.15</v>
      </c>
      <c r="G190" s="9" t="inlineStr">
        <is>
          <t>For Car</t>
        </is>
      </c>
      <c r="H190">
        <f>IFERROR(INDEX(Categories!$A$5:$A$93,MATCH(G190,Categories!$B$5:$B$93,0)),"")</f>
        <v/>
      </c>
      <c r="I190" s="9" t="inlineStr">
        <is>
          <t>H</t>
        </is>
      </c>
      <c r="J190" s="9" t="inlineStr"/>
    </row>
    <row r="191">
      <c r="A191" s="9" t="inlineStr">
        <is>
          <t>Checking ...0861</t>
        </is>
      </c>
      <c r="B191" s="29" t="n">
        <v>46244</v>
      </c>
      <c r="C191" s="9" t="inlineStr">
        <is>
          <t>PAYPAL           PURCHASE   TIKTOK SHOP     WEB ID: PAYPALSI77</t>
        </is>
      </c>
      <c r="D191" s="10" t="n">
        <v>-37.51</v>
      </c>
      <c r="E191" s="9" t="inlineStr">
        <is>
          <t>ACH_DEBIT</t>
        </is>
      </c>
      <c r="F191" s="10" t="n">
        <v>393.16</v>
      </c>
      <c r="G191" s="9" t="inlineStr">
        <is>
          <t>paypal tiktok</t>
        </is>
      </c>
      <c r="H191">
        <f>IFERROR(INDEX(Categories!$A$5:$A$93,MATCH(G191,Categories!$B$5:$B$93,0)),"")</f>
        <v/>
      </c>
      <c r="I191" s="9" t="inlineStr">
        <is>
          <t>H</t>
        </is>
      </c>
      <c r="J191" s="9" t="inlineStr"/>
    </row>
    <row r="192">
      <c r="A192" s="9" t="inlineStr">
        <is>
          <t>Checking ...0861</t>
        </is>
      </c>
      <c r="B192" s="29" t="n">
        <v>46244</v>
      </c>
      <c r="C192" s="9" t="inlineStr">
        <is>
          <t>PAYPAL           PURCHASE   TIKTOK SHOP     WEB ID: PAYPALSI77</t>
        </is>
      </c>
      <c r="D192" s="10" t="n">
        <v>-22.17</v>
      </c>
      <c r="E192" s="9" t="inlineStr">
        <is>
          <t>ACH_DEBIT</t>
        </is>
      </c>
      <c r="F192" s="10" t="n">
        <v>430.67</v>
      </c>
      <c r="G192" s="9" t="inlineStr">
        <is>
          <t>paypal tiktok</t>
        </is>
      </c>
      <c r="H192">
        <f>IFERROR(INDEX(Categories!$A$5:$A$93,MATCH(G192,Categories!$B$5:$B$93,0)),"")</f>
        <v/>
      </c>
      <c r="I192" s="9" t="inlineStr">
        <is>
          <t>H</t>
        </is>
      </c>
      <c r="J192" s="9" t="inlineStr"/>
    </row>
    <row r="193">
      <c r="A193" s="9" t="inlineStr">
        <is>
          <t>Checking ...0861</t>
        </is>
      </c>
      <c r="B193" s="29" t="n">
        <v>46244</v>
      </c>
      <c r="C193" s="9" t="inlineStr">
        <is>
          <t>PAYPAL           PURCHASE   TIKTOK SHOP     WEB ID: PAYPALSI77</t>
        </is>
      </c>
      <c r="D193" s="10" t="n">
        <v>-22.29</v>
      </c>
      <c r="E193" s="9" t="inlineStr">
        <is>
          <t>ACH_DEBIT</t>
        </is>
      </c>
      <c r="F193" s="10" t="n">
        <v>452.84</v>
      </c>
      <c r="G193" s="9" t="inlineStr">
        <is>
          <t>paypal tiktok</t>
        </is>
      </c>
      <c r="H193">
        <f>IFERROR(INDEX(Categories!$A$5:$A$93,MATCH(G193,Categories!$B$5:$B$93,0)),"")</f>
        <v/>
      </c>
      <c r="I193" s="9" t="inlineStr">
        <is>
          <t>H</t>
        </is>
      </c>
      <c r="J193" s="9" t="inlineStr"/>
    </row>
    <row r="194">
      <c r="A194" s="9" t="inlineStr">
        <is>
          <t>Checking ...0861</t>
        </is>
      </c>
      <c r="B194" s="29" t="n">
        <v>46244</v>
      </c>
      <c r="C194" s="9" t="inlineStr">
        <is>
          <t>GOHAN BUFFET SALINAS CA                      08/09</t>
        </is>
      </c>
      <c r="D194" s="10" t="n">
        <v>-153.55</v>
      </c>
      <c r="E194" s="9" t="inlineStr">
        <is>
          <t>DEBIT_CARD</t>
        </is>
      </c>
      <c r="F194" s="10" t="n">
        <v>475.13</v>
      </c>
      <c r="G194" s="9" t="inlineStr">
        <is>
          <t>Food - Eat Out</t>
        </is>
      </c>
      <c r="H194">
        <f>IFERROR(INDEX(Categories!$A$5:$A$93,MATCH(G194,Categories!$B$5:$B$93,0)),"")</f>
        <v/>
      </c>
      <c r="I194" s="9" t="inlineStr">
        <is>
          <t>D</t>
        </is>
      </c>
      <c r="J194" s="9" t="inlineStr">
        <is>
          <t>Restaurant/fast-food - defaulted to Eat Out; move to Food - Ailynn/Chris/Misc if you know whose order it was</t>
        </is>
      </c>
    </row>
    <row r="195">
      <c r="A195" s="9" t="inlineStr">
        <is>
          <t>Checking ...0861</t>
        </is>
      </c>
      <c r="B195" s="29" t="n">
        <v>46244</v>
      </c>
      <c r="C195" s="9" t="inlineStr">
        <is>
          <t>ELPOLLOLOCO ELPOLLOLOCO.O CA                 08/09</t>
        </is>
      </c>
      <c r="D195" s="10" t="n">
        <v>-64.45</v>
      </c>
      <c r="E195" s="9" t="inlineStr">
        <is>
          <t>DEBIT_CARD</t>
        </is>
      </c>
      <c r="F195" s="10" t="n">
        <v>628.6799999999999</v>
      </c>
      <c r="G195" s="9" t="inlineStr">
        <is>
          <t>Food - Eat Out</t>
        </is>
      </c>
      <c r="H195">
        <f>IFERROR(INDEX(Categories!$A$5:$A$93,MATCH(G195,Categories!$B$5:$B$93,0)),"")</f>
        <v/>
      </c>
      <c r="I195" s="9" t="inlineStr">
        <is>
          <t>D</t>
        </is>
      </c>
      <c r="J195" s="9" t="inlineStr">
        <is>
          <t>Restaurant/fast-food - defaulted to Eat Out; move to Food - Ailynn/Chris/Misc if you know whose order it was</t>
        </is>
      </c>
    </row>
    <row r="196">
      <c r="A196" s="9" t="inlineStr">
        <is>
          <t>Checking ...0861</t>
        </is>
      </c>
      <c r="B196" s="29" t="n">
        <v>46244</v>
      </c>
      <c r="C196" s="9" t="inlineStr">
        <is>
          <t>GOOGLE *HARNA Workout 855-836-3987 CA        08/09</t>
        </is>
      </c>
      <c r="D196" s="10" t="n">
        <v>-14.99</v>
      </c>
      <c r="E196" s="9" t="inlineStr">
        <is>
          <t>DEBIT_CARD</t>
        </is>
      </c>
      <c r="F196" s="10" t="n">
        <v>693.13</v>
      </c>
      <c r="G196" s="9" t="inlineStr">
        <is>
          <t>Harna fit</t>
        </is>
      </c>
      <c r="H196">
        <f>IFERROR(INDEX(Categories!$A$5:$A$93,MATCH(G196,Categories!$B$5:$B$93,0)),"")</f>
        <v/>
      </c>
      <c r="I196" s="9" t="inlineStr">
        <is>
          <t>H</t>
        </is>
      </c>
      <c r="J196" s="9" t="inlineStr"/>
    </row>
    <row r="197">
      <c r="A197" s="9" t="inlineStr">
        <is>
          <t>Checking ...0861</t>
        </is>
      </c>
      <c r="B197" s="29" t="n">
        <v>46244</v>
      </c>
      <c r="C197" s="9" t="inlineStr">
        <is>
          <t>GIV*FIRST PRESBY 831-4227811 CA              08/09</t>
        </is>
      </c>
      <c r="D197" s="10" t="n">
        <v>-20</v>
      </c>
      <c r="E197" s="9" t="inlineStr">
        <is>
          <t>DEBIT_CARD</t>
        </is>
      </c>
      <c r="F197" s="10" t="n">
        <v>708.12</v>
      </c>
      <c r="G197" s="9" t="inlineStr">
        <is>
          <t>Others</t>
        </is>
      </c>
      <c r="H197">
        <f>IFERROR(INDEX(Categories!$A$5:$A$93,MATCH(G197,Categories!$B$5:$B$93,0)),"")</f>
        <v/>
      </c>
      <c r="I197" s="9" t="inlineStr">
        <is>
          <t>H</t>
        </is>
      </c>
      <c r="J197" s="9" t="inlineStr">
        <is>
          <t>Recurring $20 church/charitable giving - no matching category in your list, put under Others</t>
        </is>
      </c>
    </row>
    <row r="198">
      <c r="A198" s="9" t="inlineStr">
        <is>
          <t>Checking ...0861</t>
        </is>
      </c>
      <c r="B198" s="29" t="n">
        <v>46244</v>
      </c>
      <c r="C198" s="9" t="inlineStr">
        <is>
          <t>Taptap Send New York NY                      08/09</t>
        </is>
      </c>
      <c r="D198" s="10" t="n">
        <v>-16.5</v>
      </c>
      <c r="E198" s="9" t="inlineStr">
        <is>
          <t>DEBIT_CARD</t>
        </is>
      </c>
      <c r="F198" s="10" t="n">
        <v>728.12</v>
      </c>
      <c r="G198" s="9" t="inlineStr">
        <is>
          <t>Remittance - others</t>
        </is>
      </c>
      <c r="H198">
        <f>IFERROR(INDEX(Categories!$A$5:$A$93,MATCH(G198,Categories!$B$5:$B$93,0)),"")</f>
        <v/>
      </c>
      <c r="I198" s="9" t="inlineStr">
        <is>
          <t>R</t>
        </is>
      </c>
      <c r="J198" s="9" t="inlineStr">
        <is>
          <t>Remittance app transfer - recipient not shown; please tell me if this is Aron, Aron's tuition, or someone else</t>
        </is>
      </c>
    </row>
    <row r="199">
      <c r="A199" s="9" t="inlineStr">
        <is>
          <t>Checking ...0861</t>
        </is>
      </c>
      <c r="B199" s="29" t="n">
        <v>46244</v>
      </c>
      <c r="C199" s="9" t="inlineStr">
        <is>
          <t>SQ *MCKAYLA CATERING Salinas CA              08/08</t>
        </is>
      </c>
      <c r="D199" s="10" t="n">
        <v>-37.14</v>
      </c>
      <c r="E199" s="9" t="inlineStr">
        <is>
          <t>DEBIT_CARD</t>
        </is>
      </c>
      <c r="F199" s="10" t="n">
        <v>744.62</v>
      </c>
      <c r="G199" s="9" t="inlineStr">
        <is>
          <t>Food - Eat Out</t>
        </is>
      </c>
      <c r="H199">
        <f>IFERROR(INDEX(Categories!$A$5:$A$93,MATCH(G199,Categories!$B$5:$B$93,0)),"")</f>
        <v/>
      </c>
      <c r="I199" s="9" t="inlineStr">
        <is>
          <t>D</t>
        </is>
      </c>
      <c r="J199" s="9" t="inlineStr"/>
    </row>
    <row r="200">
      <c r="A200" s="9" t="inlineStr">
        <is>
          <t>Checking ...0861</t>
        </is>
      </c>
      <c r="B200" s="29" t="n">
        <v>46244</v>
      </c>
      <c r="C200" s="9" t="inlineStr">
        <is>
          <t>SQ *IVANS BAKED POTATOE Salinas CA           08/08</t>
        </is>
      </c>
      <c r="D200" s="10" t="n">
        <v>-18.49</v>
      </c>
      <c r="E200" s="9" t="inlineStr">
        <is>
          <t>DEBIT_CARD</t>
        </is>
      </c>
      <c r="F200" s="10" t="n">
        <v>781.76</v>
      </c>
      <c r="G200" s="9" t="inlineStr">
        <is>
          <t>Food - Eat Out</t>
        </is>
      </c>
      <c r="H200">
        <f>IFERROR(INDEX(Categories!$A$5:$A$93,MATCH(G200,Categories!$B$5:$B$93,0)),"")</f>
        <v/>
      </c>
      <c r="I200" s="9" t="inlineStr">
        <is>
          <t>D</t>
        </is>
      </c>
      <c r="J200" s="9" t="inlineStr"/>
    </row>
    <row r="201">
      <c r="A201" s="9" t="inlineStr">
        <is>
          <t>Checking ...0861</t>
        </is>
      </c>
      <c r="B201" s="29" t="n">
        <v>46244</v>
      </c>
      <c r="C201" s="9" t="inlineStr">
        <is>
          <t>TRADER JOE S #261 MARINA CA                  08/08</t>
        </is>
      </c>
      <c r="D201" s="10" t="n">
        <v>-15.07</v>
      </c>
      <c r="E201" s="9" t="inlineStr">
        <is>
          <t>DEBIT_CARD</t>
        </is>
      </c>
      <c r="F201" s="10" t="n">
        <v>800.25</v>
      </c>
      <c r="G201" s="9" t="inlineStr">
        <is>
          <t>Groceries - Others</t>
        </is>
      </c>
      <c r="H201">
        <f>IFERROR(INDEX(Categories!$A$5:$A$93,MATCH(G201,Categories!$B$5:$B$93,0)),"")</f>
        <v/>
      </c>
      <c r="I201" s="9" t="inlineStr">
        <is>
          <t>H</t>
        </is>
      </c>
      <c r="J201" s="9" t="inlineStr"/>
    </row>
    <row r="202">
      <c r="A202" s="9" t="inlineStr">
        <is>
          <t>Checking ...0861</t>
        </is>
      </c>
      <c r="B202" s="29" t="n">
        <v>46244</v>
      </c>
      <c r="C202" s="9" t="inlineStr">
        <is>
          <t>TRADER JOE S #261 MARINA CA                  08/08</t>
        </is>
      </c>
      <c r="D202" s="10" t="n">
        <v>-10.9</v>
      </c>
      <c r="E202" s="9" t="inlineStr">
        <is>
          <t>DEBIT_CARD</t>
        </is>
      </c>
      <c r="F202" s="10" t="n">
        <v>815.3200000000001</v>
      </c>
      <c r="G202" s="9" t="inlineStr">
        <is>
          <t>Groceries - Others</t>
        </is>
      </c>
      <c r="H202">
        <f>IFERROR(INDEX(Categories!$A$5:$A$93,MATCH(G202,Categories!$B$5:$B$93,0)),"")</f>
        <v/>
      </c>
      <c r="I202" s="9" t="inlineStr">
        <is>
          <t>H</t>
        </is>
      </c>
      <c r="J202" s="9" t="inlineStr"/>
    </row>
    <row r="203">
      <c r="A203" s="9" t="inlineStr">
        <is>
          <t>Checking ...0861</t>
        </is>
      </c>
      <c r="B203" s="29" t="n">
        <v>46244</v>
      </c>
      <c r="C203" s="9" t="inlineStr">
        <is>
          <t>WAL-MART #5751 SALINAS CA                    08/08</t>
        </is>
      </c>
      <c r="D203" s="10" t="n">
        <v>-27.66</v>
      </c>
      <c r="E203" s="9" t="inlineStr">
        <is>
          <t>DEBIT_CARD</t>
        </is>
      </c>
      <c r="F203" s="10" t="n">
        <v>826.22</v>
      </c>
      <c r="G203" s="9" t="inlineStr">
        <is>
          <t>Groceries - Walmart</t>
        </is>
      </c>
      <c r="H203">
        <f>IFERROR(INDEX(Categories!$A$5:$A$93,MATCH(G203,Categories!$B$5:$B$93,0)),"")</f>
        <v/>
      </c>
      <c r="I203" s="9" t="inlineStr">
        <is>
          <t>H</t>
        </is>
      </c>
      <c r="J203" s="9" t="inlineStr"/>
    </row>
    <row r="204">
      <c r="A204" s="9" t="inlineStr">
        <is>
          <t>Checking ...0861</t>
        </is>
      </c>
      <c r="B204" s="29" t="n">
        <v>46244</v>
      </c>
      <c r="C204" s="9" t="inlineStr">
        <is>
          <t>Primo Water Corporatio Vista CA              08/08</t>
        </is>
      </c>
      <c r="D204" s="10" t="n">
        <v>-3.1</v>
      </c>
      <c r="E204" s="9" t="inlineStr">
        <is>
          <t>DEBIT_CARD</t>
        </is>
      </c>
      <c r="F204" s="10" t="n">
        <v>853.88</v>
      </c>
      <c r="G204" s="9" t="inlineStr">
        <is>
          <t>Water</t>
        </is>
      </c>
      <c r="H204">
        <f>IFERROR(INDEX(Categories!$A$5:$A$93,MATCH(G204,Categories!$B$5:$B$93,0)),"")</f>
        <v/>
      </c>
      <c r="I204" s="9" t="inlineStr">
        <is>
          <t>H</t>
        </is>
      </c>
      <c r="J204" s="9" t="inlineStr"/>
    </row>
    <row r="205">
      <c r="A205" s="9" t="inlineStr">
        <is>
          <t>Checking ...0861</t>
        </is>
      </c>
      <c r="B205" s="29" t="n">
        <v>46244</v>
      </c>
      <c r="C205" s="9" t="inlineStr">
        <is>
          <t>Primo Water Corporatio Vista CA              08/08</t>
        </is>
      </c>
      <c r="D205" s="10" t="n">
        <v>-3.1</v>
      </c>
      <c r="E205" s="9" t="inlineStr">
        <is>
          <t>DEBIT_CARD</t>
        </is>
      </c>
      <c r="F205" s="10" t="n">
        <v>856.98</v>
      </c>
      <c r="G205" s="9" t="inlineStr">
        <is>
          <t>Water</t>
        </is>
      </c>
      <c r="H205">
        <f>IFERROR(INDEX(Categories!$A$5:$A$93,MATCH(G205,Categories!$B$5:$B$93,0)),"")</f>
        <v/>
      </c>
      <c r="I205" s="9" t="inlineStr">
        <is>
          <t>H</t>
        </is>
      </c>
      <c r="J205" s="9" t="inlineStr"/>
    </row>
    <row r="206">
      <c r="A206" s="9" t="inlineStr">
        <is>
          <t>Checking ...0861</t>
        </is>
      </c>
      <c r="B206" s="29" t="n">
        <v>46244</v>
      </c>
      <c r="C206" s="9" t="inlineStr">
        <is>
          <t>Primo Water Corporatio Vista CA              08/08</t>
        </is>
      </c>
      <c r="D206" s="10" t="n">
        <v>-0.7</v>
      </c>
      <c r="E206" s="9" t="inlineStr">
        <is>
          <t>DEBIT_CARD</t>
        </is>
      </c>
      <c r="F206" s="10" t="n">
        <v>860.08</v>
      </c>
      <c r="G206" s="9" t="inlineStr">
        <is>
          <t>Water</t>
        </is>
      </c>
      <c r="H206">
        <f>IFERROR(INDEX(Categories!$A$5:$A$93,MATCH(G206,Categories!$B$5:$B$93,0)),"")</f>
        <v/>
      </c>
      <c r="I206" s="9" t="inlineStr">
        <is>
          <t>H</t>
        </is>
      </c>
      <c r="J206" s="9" t="inlineStr"/>
    </row>
    <row r="207">
      <c r="A207" s="9" t="inlineStr">
        <is>
          <t>Checking ...0861</t>
        </is>
      </c>
      <c r="B207" s="29" t="n">
        <v>46244</v>
      </c>
      <c r="C207" s="9" t="inlineStr">
        <is>
          <t>NETFLIX.COM NETFLIX.COM CA                   08/08</t>
        </is>
      </c>
      <c r="D207" s="10" t="n">
        <v>-29.98</v>
      </c>
      <c r="E207" s="9" t="inlineStr">
        <is>
          <t>DEBIT_CARD</t>
        </is>
      </c>
      <c r="F207" s="10" t="n">
        <v>860.78</v>
      </c>
      <c r="G207" s="9" t="inlineStr">
        <is>
          <t>Netflix</t>
        </is>
      </c>
      <c r="H207">
        <f>IFERROR(INDEX(Categories!$A$5:$A$93,MATCH(G207,Categories!$B$5:$B$93,0)),"")</f>
        <v/>
      </c>
      <c r="I207" s="9" t="inlineStr">
        <is>
          <t>H</t>
        </is>
      </c>
      <c r="J207" s="9" t="inlineStr"/>
    </row>
    <row r="208">
      <c r="A208" s="9" t="inlineStr">
        <is>
          <t>Checking ...0861</t>
        </is>
      </c>
      <c r="B208" s="29" t="n">
        <v>46244</v>
      </c>
      <c r="C208" s="9" t="inlineStr">
        <is>
          <t>CANNERY ROW GARAGE 8316463953 CA             08/07</t>
        </is>
      </c>
      <c r="D208" s="10" t="n">
        <v>-5</v>
      </c>
      <c r="E208" s="9" t="inlineStr">
        <is>
          <t>DEBIT_CARD</t>
        </is>
      </c>
      <c r="F208" s="10" t="n">
        <v>890.76</v>
      </c>
      <c r="G208" s="9" t="inlineStr">
        <is>
          <t>For Car</t>
        </is>
      </c>
      <c r="H208">
        <f>IFERROR(INDEX(Categories!$A$5:$A$93,MATCH(G208,Categories!$B$5:$B$93,0)),"")</f>
        <v/>
      </c>
      <c r="I208" s="9" t="inlineStr">
        <is>
          <t>D</t>
        </is>
      </c>
      <c r="J208" s="9" t="inlineStr">
        <is>
          <t>Parking charge, defaulted to For Car</t>
        </is>
      </c>
    </row>
    <row r="209">
      <c r="A209" s="9" t="inlineStr">
        <is>
          <t>Checking ...0861</t>
        </is>
      </c>
      <c r="B209" s="29" t="n">
        <v>46244</v>
      </c>
      <c r="C209" s="9" t="inlineStr">
        <is>
          <t>Ghirardelli Monterey Monterey CA             08/08</t>
        </is>
      </c>
      <c r="D209" s="10" t="n">
        <v>-42.28</v>
      </c>
      <c r="E209" s="9" t="inlineStr">
        <is>
          <t>DEBIT_CARD</t>
        </is>
      </c>
      <c r="F209" s="10" t="n">
        <v>895.76</v>
      </c>
      <c r="G209" s="9" t="inlineStr">
        <is>
          <t>Food - Eat Out</t>
        </is>
      </c>
      <c r="H209">
        <f>IFERROR(INDEX(Categories!$A$5:$A$93,MATCH(G209,Categories!$B$5:$B$93,0)),"")</f>
        <v/>
      </c>
      <c r="I209" s="9" t="inlineStr">
        <is>
          <t>D</t>
        </is>
      </c>
      <c r="J209" s="9" t="inlineStr">
        <is>
          <t>Restaurant/fast-food - defaulted to Eat Out; move to Food - Ailynn/Chris/Misc if you know whose order it was</t>
        </is>
      </c>
    </row>
    <row r="210">
      <c r="A210" s="9" t="inlineStr">
        <is>
          <t>Checking ...0861</t>
        </is>
      </c>
      <c r="B210" s="29" t="n">
        <v>46244</v>
      </c>
      <c r="C210" s="9" t="inlineStr">
        <is>
          <t>TST*LOUIE LINGUINIS Monterey CA              08/07</t>
        </is>
      </c>
      <c r="D210" s="10" t="n">
        <v>-117</v>
      </c>
      <c r="E210" s="9" t="inlineStr">
        <is>
          <t>DEBIT_CARD</t>
        </is>
      </c>
      <c r="F210" s="10" t="n">
        <v>938.04</v>
      </c>
      <c r="G210" s="9" t="inlineStr">
        <is>
          <t>Food - Eat Out</t>
        </is>
      </c>
      <c r="H210">
        <f>IFERROR(INDEX(Categories!$A$5:$A$93,MATCH(G210,Categories!$B$5:$B$93,0)),"")</f>
        <v/>
      </c>
      <c r="I210" s="9" t="inlineStr">
        <is>
          <t>D</t>
        </is>
      </c>
      <c r="J210" s="9" t="inlineStr"/>
    </row>
    <row r="211">
      <c r="A211" s="9" t="inlineStr">
        <is>
          <t>Checking ...0861</t>
        </is>
      </c>
      <c r="B211" s="29" t="n">
        <v>46244</v>
      </c>
      <c r="C211" s="9" t="inlineStr">
        <is>
          <t>McDonalds 2428 SALINAS CA                    08/07</t>
        </is>
      </c>
      <c r="D211" s="10" t="n">
        <v>-45.59</v>
      </c>
      <c r="E211" s="9" t="inlineStr">
        <is>
          <t>DEBIT_CARD</t>
        </is>
      </c>
      <c r="F211" s="10" t="n">
        <v>1055.04</v>
      </c>
      <c r="G211" s="9" t="inlineStr">
        <is>
          <t>Food - Eat Out</t>
        </is>
      </c>
      <c r="H211">
        <f>IFERROR(INDEX(Categories!$A$5:$A$93,MATCH(G211,Categories!$B$5:$B$93,0)),"")</f>
        <v/>
      </c>
      <c r="I211" s="9" t="inlineStr">
        <is>
          <t>D</t>
        </is>
      </c>
      <c r="J211" s="9" t="inlineStr">
        <is>
          <t>Restaurant/fast-food - defaulted to Eat Out; move to Food - Ailynn/Chris/Misc if you know whose order it was</t>
        </is>
      </c>
    </row>
    <row r="212">
      <c r="A212" s="9" t="inlineStr">
        <is>
          <t>Checking ...0861</t>
        </is>
      </c>
      <c r="B212" s="29" t="n">
        <v>46244</v>
      </c>
      <c r="C212" s="9" t="inlineStr">
        <is>
          <t>JOSE REYES REYES PUSH       T43491172-2     CCD ID: 1522304924</t>
        </is>
      </c>
      <c r="D212" s="10" t="n">
        <v>200</v>
      </c>
      <c r="E212" s="9" t="inlineStr">
        <is>
          <t>ACH_CREDIT</t>
        </is>
      </c>
      <c r="F212" s="10" t="n">
        <v>1100.63</v>
      </c>
      <c r="G212" s="9" t="inlineStr">
        <is>
          <t>Others - Income</t>
        </is>
      </c>
      <c r="H212">
        <f>IFERROR(INDEX(Categories!$A$5:$A$93,MATCH(G212,Categories!$B$5:$B$93,0)),"")</f>
        <v/>
      </c>
      <c r="I212" s="9" t="inlineStr">
        <is>
          <t>R</t>
        </is>
      </c>
      <c r="J212" s="9" t="inlineStr">
        <is>
          <t>Incoming payment, source unclear</t>
        </is>
      </c>
    </row>
    <row r="213">
      <c r="A213" s="9" t="inlineStr">
        <is>
          <t>Checking ...0861</t>
        </is>
      </c>
      <c r="B213" s="29" t="n">
        <v>46244</v>
      </c>
      <c r="C213" s="9" t="inlineStr">
        <is>
          <t>Zelle payment from RHIAN ABIGAIL ALMO 30348223178</t>
        </is>
      </c>
      <c r="D213" s="10" t="n">
        <v>500</v>
      </c>
      <c r="E213" s="9" t="inlineStr">
        <is>
          <t>QUICKPAY_CREDIT</t>
        </is>
      </c>
      <c r="F213" s="10" t="n">
        <v>900.63</v>
      </c>
      <c r="G213" s="9" t="inlineStr">
        <is>
          <t>Others - Income</t>
        </is>
      </c>
      <c r="H213">
        <f>IFERROR(INDEX(Categories!$A$5:$A$93,MATCH(G213,Categories!$B$5:$B$93,0)),"")</f>
        <v/>
      </c>
      <c r="I213" s="9" t="inlineStr">
        <is>
          <t>R</t>
        </is>
      </c>
      <c r="J213" s="9" t="inlineStr">
        <is>
          <t>Zelle received - please tell me who this person is so I can map them to a category</t>
        </is>
      </c>
    </row>
    <row r="214">
      <c r="A214" s="9" t="inlineStr">
        <is>
          <t>Checking ...0861</t>
        </is>
      </c>
      <c r="B214" s="29" t="n">
        <v>46241</v>
      </c>
      <c r="C214" s="9" t="inlineStr">
        <is>
          <t>PAYPAL           TRANSFER   ADD TO BALANCE  WEB ID: PAYPALSD22</t>
        </is>
      </c>
      <c r="D214" s="10" t="n">
        <v>-50</v>
      </c>
      <c r="E214" s="9" t="inlineStr">
        <is>
          <t>ACH_DEBIT</t>
        </is>
      </c>
      <c r="F214" s="10" t="n">
        <v>400.63</v>
      </c>
      <c r="G214" s="9" t="inlineStr">
        <is>
          <t>Transfer - Checking to PayPal</t>
        </is>
      </c>
      <c r="H214">
        <f>IFERROR(INDEX(Categories!$A$5:$A$93,MATCH(G214,Categories!$B$5:$B$93,0)),"")</f>
        <v/>
      </c>
      <c r="I214" s="9" t="inlineStr">
        <is>
          <t>H</t>
        </is>
      </c>
      <c r="J214" s="9" t="inlineStr"/>
    </row>
    <row r="215">
      <c r="A215" s="9" t="inlineStr">
        <is>
          <t>Checking ...0861</t>
        </is>
      </c>
      <c r="B215" s="29" t="n">
        <v>46241</v>
      </c>
      <c r="C215" s="9" t="inlineStr">
        <is>
          <t>Taptap Send New York NY                      08/07</t>
        </is>
      </c>
      <c r="D215" s="10" t="n">
        <v>-20</v>
      </c>
      <c r="E215" s="9" t="inlineStr">
        <is>
          <t>DEBIT_CARD</t>
        </is>
      </c>
      <c r="F215" s="10" t="n">
        <v>450.63</v>
      </c>
      <c r="G215" s="9" t="inlineStr">
        <is>
          <t>Remittance - others</t>
        </is>
      </c>
      <c r="H215">
        <f>IFERROR(INDEX(Categories!$A$5:$A$93,MATCH(G215,Categories!$B$5:$B$93,0)),"")</f>
        <v/>
      </c>
      <c r="I215" s="9" t="inlineStr">
        <is>
          <t>R</t>
        </is>
      </c>
      <c r="J215" s="9" t="inlineStr">
        <is>
          <t>Remittance app transfer - recipient not shown; please tell me if this is Aron, Aron's tuition, or someone else</t>
        </is>
      </c>
    </row>
    <row r="216">
      <c r="A216" s="9" t="inlineStr">
        <is>
          <t>Checking ...0861</t>
        </is>
      </c>
      <c r="B216" s="29" t="n">
        <v>46241</v>
      </c>
      <c r="C216" s="9" t="inlineStr">
        <is>
          <t>Online Transfer to  SAV ...5953 transaction#: 30221706562</t>
        </is>
      </c>
      <c r="D216" s="10" t="n">
        <v>-25</v>
      </c>
      <c r="E216" s="9" t="inlineStr">
        <is>
          <t>ACCT_XFER</t>
        </is>
      </c>
      <c r="F216" s="10" t="n">
        <v>470.63</v>
      </c>
      <c r="G216" s="9" t="inlineStr">
        <is>
          <t>Transfer - Checking to Savings</t>
        </is>
      </c>
      <c r="H216">
        <f>IFERROR(INDEX(Categories!$A$5:$A$93,MATCH(G216,Categories!$B$5:$B$93,0)),"")</f>
        <v/>
      </c>
      <c r="I216" s="9" t="inlineStr">
        <is>
          <t>H</t>
        </is>
      </c>
      <c r="J216" s="9" t="inlineStr"/>
    </row>
    <row r="217">
      <c r="A217" s="9" t="inlineStr">
        <is>
          <t>Checking ...0861</t>
        </is>
      </c>
      <c r="B217" s="29" t="n">
        <v>46241</v>
      </c>
      <c r="C217" s="9" t="inlineStr">
        <is>
          <t>ONEPAY CASHREWRD SYF PAYMNT 552315100369915 WEB ID: 9069872103</t>
        </is>
      </c>
      <c r="D217" s="10" t="n">
        <v>-451.55</v>
      </c>
      <c r="E217" s="9" t="inlineStr">
        <is>
          <t>ACH_DEBIT</t>
        </is>
      </c>
      <c r="F217" s="10" t="n">
        <v>495.63</v>
      </c>
      <c r="G217" s="9" t="inlineStr">
        <is>
          <t>CC - One Pay</t>
        </is>
      </c>
      <c r="H217">
        <f>IFERROR(INDEX(Categories!$A$5:$A$93,MATCH(G217,Categories!$B$5:$B$93,0)),"")</f>
        <v/>
      </c>
      <c r="I217" s="9" t="inlineStr">
        <is>
          <t>H</t>
        </is>
      </c>
      <c r="J217" s="9" t="inlineStr"/>
    </row>
    <row r="218">
      <c r="A218" s="9" t="inlineStr">
        <is>
          <t>Checking ...0861</t>
        </is>
      </c>
      <c r="B218" s="29" t="n">
        <v>46241</v>
      </c>
      <c r="C218" s="9" t="inlineStr">
        <is>
          <t>BARCLAYCARD US   CREDITCARD 1442524225      WEB ID: 2510407970</t>
        </is>
      </c>
      <c r="D218" s="10" t="n">
        <v>-1099.59</v>
      </c>
      <c r="E218" s="9" t="inlineStr">
        <is>
          <t>ACH_DEBIT</t>
        </is>
      </c>
      <c r="F218" s="10" t="n">
        <v>947.1799999999999</v>
      </c>
      <c r="G218" s="9" t="inlineStr">
        <is>
          <t>CC - Frontier card</t>
        </is>
      </c>
      <c r="H218">
        <f>IFERROR(INDEX(Categories!$A$5:$A$93,MATCH(G218,Categories!$B$5:$B$93,0)),"")</f>
        <v/>
      </c>
      <c r="I218" s="9" t="inlineStr">
        <is>
          <t>R</t>
        </is>
      </c>
      <c r="J218" s="9" t="inlineStr">
        <is>
          <t>Barclaycard - assumed this is the Frontier Airlines card, please confirm</t>
        </is>
      </c>
    </row>
    <row r="219">
      <c r="A219" s="9" t="inlineStr">
        <is>
          <t>Checking ...0861</t>
        </is>
      </c>
      <c r="B219" s="29" t="n">
        <v>46241</v>
      </c>
      <c r="C219" s="9" t="inlineStr">
        <is>
          <t>WM SUPERCENTER #2458 SALINAS CA              08/06</t>
        </is>
      </c>
      <c r="D219" s="10" t="n">
        <v>-17.45</v>
      </c>
      <c r="E219" s="9" t="inlineStr">
        <is>
          <t>DEBIT_CARD</t>
        </is>
      </c>
      <c r="F219" s="10" t="n">
        <v>2046.77</v>
      </c>
      <c r="G219" s="9" t="inlineStr">
        <is>
          <t>Groceries - Walmart</t>
        </is>
      </c>
      <c r="H219">
        <f>IFERROR(INDEX(Categories!$A$5:$A$93,MATCH(G219,Categories!$B$5:$B$93,0)),"")</f>
        <v/>
      </c>
      <c r="I219" s="9" t="inlineStr">
        <is>
          <t>H</t>
        </is>
      </c>
      <c r="J219" s="9" t="inlineStr"/>
    </row>
    <row r="220">
      <c r="A220" s="9" t="inlineStr">
        <is>
          <t>Checking ...0861</t>
        </is>
      </c>
      <c r="B220" s="29" t="n">
        <v>46241</v>
      </c>
      <c r="C220" s="9" t="inlineStr">
        <is>
          <t>SHELL SERVICE STATION SALINAS CA     653449  08/06</t>
        </is>
      </c>
      <c r="D220" s="10" t="n">
        <v>-90.89</v>
      </c>
      <c r="E220" s="9" t="inlineStr">
        <is>
          <t>DEBIT_CARD</t>
        </is>
      </c>
      <c r="F220" s="10" t="n">
        <v>2064.22</v>
      </c>
      <c r="G220" s="9" t="inlineStr">
        <is>
          <t>Gas</t>
        </is>
      </c>
      <c r="H220">
        <f>IFERROR(INDEX(Categories!$A$5:$A$93,MATCH(G220,Categories!$B$5:$B$93,0)),"")</f>
        <v/>
      </c>
      <c r="I220" s="9" t="inlineStr">
        <is>
          <t>D</t>
        </is>
      </c>
      <c r="J220" s="9" t="inlineStr"/>
    </row>
    <row r="221">
      <c r="A221" s="9" t="inlineStr">
        <is>
          <t>Checking ...0861</t>
        </is>
      </c>
      <c r="B221" s="29" t="n">
        <v>46241</v>
      </c>
      <c r="C221" s="9" t="inlineStr">
        <is>
          <t>PANERA BREAD #606025 K SALINAS CA            08/06</t>
        </is>
      </c>
      <c r="D221" s="10" t="n">
        <v>-52.05</v>
      </c>
      <c r="E221" s="9" t="inlineStr">
        <is>
          <t>DEBIT_CARD</t>
        </is>
      </c>
      <c r="F221" s="10" t="n">
        <v>2155.11</v>
      </c>
      <c r="G221" s="9" t="inlineStr">
        <is>
          <t>Food - Eat Out</t>
        </is>
      </c>
      <c r="H221">
        <f>IFERROR(INDEX(Categories!$A$5:$A$93,MATCH(G221,Categories!$B$5:$B$93,0)),"")</f>
        <v/>
      </c>
      <c r="I221" s="9" t="inlineStr">
        <is>
          <t>D</t>
        </is>
      </c>
      <c r="J221" s="9" t="inlineStr">
        <is>
          <t>Restaurant/fast-food - defaulted to Eat Out; move to Food - Ailynn/Chris/Misc if you know whose order it was</t>
        </is>
      </c>
    </row>
    <row r="222">
      <c r="A222" s="9" t="inlineStr">
        <is>
          <t>Checking ...0861</t>
        </is>
      </c>
      <c r="B222" s="29" t="n">
        <v>46240</v>
      </c>
      <c r="C222" s="9" t="inlineStr">
        <is>
          <t>CHECK 286  08/06</t>
        </is>
      </c>
      <c r="D222" s="10" t="n">
        <v>-1800</v>
      </c>
      <c r="E222" s="9" t="inlineStr">
        <is>
          <t>CHECK_PAID</t>
        </is>
      </c>
      <c r="F222" s="10" t="n">
        <v>2207.16</v>
      </c>
      <c r="G222" s="9" t="inlineStr">
        <is>
          <t>Others</t>
        </is>
      </c>
      <c r="H222">
        <f>IFERROR(INDEX(Categories!$A$5:$A$93,MATCH(G222,Categories!$B$5:$B$93,0)),"")</f>
        <v/>
      </c>
      <c r="I222" s="9" t="inlineStr">
        <is>
          <t>R</t>
        </is>
      </c>
      <c r="J222" s="9" t="inlineStr">
        <is>
          <t>Paper check - payee not shown on the statement; please tell me who checks were written to</t>
        </is>
      </c>
    </row>
    <row r="223">
      <c r="A223" s="9" t="inlineStr">
        <is>
          <t>Checking ...0861</t>
        </is>
      </c>
      <c r="B223" s="29" t="n">
        <v>46240</v>
      </c>
      <c r="C223" s="9" t="inlineStr">
        <is>
          <t>CALWATER SERVICE BILLPAY                    PPD ID: 0000000160</t>
        </is>
      </c>
      <c r="D223" s="10" t="n">
        <v>-40.84</v>
      </c>
      <c r="E223" s="9" t="inlineStr">
        <is>
          <t>ACH_DEBIT</t>
        </is>
      </c>
      <c r="F223" s="10" t="n">
        <v>4007.16</v>
      </c>
      <c r="G223" s="9" t="inlineStr">
        <is>
          <t>Cal Water</t>
        </is>
      </c>
      <c r="H223">
        <f>IFERROR(INDEX(Categories!$A$5:$A$93,MATCH(G223,Categories!$B$5:$B$93,0)),"")</f>
        <v/>
      </c>
      <c r="I223" s="9" t="inlineStr">
        <is>
          <t>H</t>
        </is>
      </c>
      <c r="J223" s="9" t="inlineStr"/>
    </row>
    <row r="224">
      <c r="A224" s="9" t="inlineStr">
        <is>
          <t>Checking ...0861</t>
        </is>
      </c>
      <c r="B224" s="29" t="n">
        <v>46240</v>
      </c>
      <c r="C224" s="9" t="inlineStr">
        <is>
          <t>Taptap Send New York NY                      08/06</t>
        </is>
      </c>
      <c r="D224" s="10" t="n">
        <v>-49.66</v>
      </c>
      <c r="E224" s="9" t="inlineStr">
        <is>
          <t>DEBIT_CARD</t>
        </is>
      </c>
      <c r="F224" s="10" t="n">
        <v>4048</v>
      </c>
      <c r="G224" s="9" t="inlineStr">
        <is>
          <t>Remittance - others</t>
        </is>
      </c>
      <c r="H224">
        <f>IFERROR(INDEX(Categories!$A$5:$A$93,MATCH(G224,Categories!$B$5:$B$93,0)),"")</f>
        <v/>
      </c>
      <c r="I224" s="9" t="inlineStr">
        <is>
          <t>R</t>
        </is>
      </c>
      <c r="J224" s="9" t="inlineStr">
        <is>
          <t>Remittance app transfer - recipient not shown; please tell me if this is Aron, Aron's tuition, or someone else</t>
        </is>
      </c>
    </row>
    <row r="225">
      <c r="A225" s="9" t="inlineStr">
        <is>
          <t>Checking ...0861</t>
        </is>
      </c>
      <c r="B225" s="29" t="n">
        <v>46240</v>
      </c>
      <c r="C225" s="9" t="inlineStr">
        <is>
          <t>FASTRAK CSC 415-486-8655 CA                  08/05</t>
        </is>
      </c>
      <c r="D225" s="10" t="n">
        <v>-25</v>
      </c>
      <c r="E225" s="9" t="inlineStr">
        <is>
          <t>DEBIT_CARD</t>
        </is>
      </c>
      <c r="F225" s="10" t="n">
        <v>4097.66</v>
      </c>
      <c r="G225" s="9" t="inlineStr">
        <is>
          <t>Gas</t>
        </is>
      </c>
      <c r="H225">
        <f>IFERROR(INDEX(Categories!$A$5:$A$93,MATCH(G225,Categories!$B$5:$B$93,0)),"")</f>
        <v/>
      </c>
      <c r="I225" s="9" t="inlineStr">
        <is>
          <t>D</t>
        </is>
      </c>
      <c r="J225" s="9" t="inlineStr"/>
    </row>
    <row r="226">
      <c r="A226" s="9" t="inlineStr">
        <is>
          <t>Checking ...0861</t>
        </is>
      </c>
      <c r="B226" s="29" t="n">
        <v>46239</v>
      </c>
      <c r="C226" s="9" t="inlineStr">
        <is>
          <t>AMAZON MARKETPLA INTERNET   043000095498802 WEB ID: 9049016352</t>
        </is>
      </c>
      <c r="D226" s="10" t="n">
        <v>-31.53</v>
      </c>
      <c r="E226" s="9" t="inlineStr">
        <is>
          <t>ACH_DEBIT</t>
        </is>
      </c>
      <c r="F226" s="10" t="n">
        <v>4122.66</v>
      </c>
      <c r="G226" s="9" t="inlineStr">
        <is>
          <t>Shop - Amazon</t>
        </is>
      </c>
      <c r="H226">
        <f>IFERROR(INDEX(Categories!$A$5:$A$93,MATCH(G226,Categories!$B$5:$B$93,0)),"")</f>
        <v/>
      </c>
      <c r="I226" s="9" t="inlineStr">
        <is>
          <t>H</t>
        </is>
      </c>
      <c r="J226" s="9" t="inlineStr"/>
    </row>
    <row r="227">
      <c r="A227" s="9" t="inlineStr">
        <is>
          <t>Checking ...0861</t>
        </is>
      </c>
      <c r="B227" s="29" t="n">
        <v>46239</v>
      </c>
      <c r="C227" s="9" t="inlineStr">
        <is>
          <t>CAPITAL ONE AUTO CARPAY     CP053D3049FF695 WEB ID: 9541719806</t>
        </is>
      </c>
      <c r="D227" s="10" t="n">
        <v>-1009.9</v>
      </c>
      <c r="E227" s="9" t="inlineStr">
        <is>
          <t>ACH_DEBIT</t>
        </is>
      </c>
      <c r="F227" s="10" t="n">
        <v>4154.19</v>
      </c>
      <c r="G227" s="9" t="inlineStr">
        <is>
          <t>Car payment</t>
        </is>
      </c>
      <c r="H227">
        <f>IFERROR(INDEX(Categories!$A$5:$A$93,MATCH(G227,Categories!$B$5:$B$93,0)),"")</f>
        <v/>
      </c>
      <c r="I227" s="9" t="inlineStr">
        <is>
          <t>H</t>
        </is>
      </c>
      <c r="J227" s="9" t="inlineStr"/>
    </row>
    <row r="228">
      <c r="A228" s="9" t="inlineStr">
        <is>
          <t>Checking ...0861</t>
        </is>
      </c>
      <c r="B228" s="29" t="n">
        <v>46239</v>
      </c>
      <c r="C228" s="9" t="inlineStr">
        <is>
          <t>AMAZON PRIME*UQ97P2K Amzn.com/bill WA        08/05</t>
        </is>
      </c>
      <c r="D228" s="10" t="n">
        <v>-16.3</v>
      </c>
      <c r="E228" s="9" t="inlineStr">
        <is>
          <t>DEBIT_CARD</t>
        </is>
      </c>
      <c r="F228" s="10" t="n">
        <v>5164.09</v>
      </c>
      <c r="G228" s="9" t="inlineStr">
        <is>
          <t>Amazon Prime</t>
        </is>
      </c>
      <c r="H228">
        <f>IFERROR(INDEX(Categories!$A$5:$A$93,MATCH(G228,Categories!$B$5:$B$93,0)),"")</f>
        <v/>
      </c>
      <c r="I228" s="9" t="inlineStr">
        <is>
          <t>H</t>
        </is>
      </c>
      <c r="J228" s="9" t="inlineStr"/>
    </row>
    <row r="229">
      <c r="A229" s="9" t="inlineStr">
        <is>
          <t>Checking ...0861</t>
        </is>
      </c>
      <c r="B229" s="29" t="n">
        <v>46239</v>
      </c>
      <c r="C229" s="9" t="inlineStr">
        <is>
          <t>Taptap Send New York NY                      08/05</t>
        </is>
      </c>
      <c r="D229" s="10" t="n">
        <v>-66.22</v>
      </c>
      <c r="E229" s="9" t="inlineStr">
        <is>
          <t>DEBIT_CARD</t>
        </is>
      </c>
      <c r="F229" s="10" t="n">
        <v>5180.39</v>
      </c>
      <c r="G229" s="9" t="inlineStr">
        <is>
          <t>Remittance - others</t>
        </is>
      </c>
      <c r="H229">
        <f>IFERROR(INDEX(Categories!$A$5:$A$93,MATCH(G229,Categories!$B$5:$B$93,0)),"")</f>
        <v/>
      </c>
      <c r="I229" s="9" t="inlineStr">
        <is>
          <t>R</t>
        </is>
      </c>
      <c r="J229" s="9" t="inlineStr">
        <is>
          <t>Remittance app transfer - recipient not shown; please tell me if this is Aron, Aron's tuition, or someone else</t>
        </is>
      </c>
    </row>
    <row r="230">
      <c r="A230" s="9" t="inlineStr">
        <is>
          <t>Checking ...0861</t>
        </is>
      </c>
      <c r="B230" s="29" t="n">
        <v>46239</v>
      </c>
      <c r="C230" s="9" t="inlineStr">
        <is>
          <t>IN-N-OUT SALINAS SALINAS CA                  08/04</t>
        </is>
      </c>
      <c r="D230" s="10" t="n">
        <v>-31.63</v>
      </c>
      <c r="E230" s="9" t="inlineStr">
        <is>
          <t>DEBIT_CARD</t>
        </is>
      </c>
      <c r="F230" s="10" t="n">
        <v>5246.61</v>
      </c>
      <c r="G230" s="9" t="inlineStr">
        <is>
          <t>Food - Eat Out</t>
        </is>
      </c>
      <c r="H230">
        <f>IFERROR(INDEX(Categories!$A$5:$A$93,MATCH(G230,Categories!$B$5:$B$93,0)),"")</f>
        <v/>
      </c>
      <c r="I230" s="9" t="inlineStr">
        <is>
          <t>D</t>
        </is>
      </c>
      <c r="J230" s="9" t="inlineStr">
        <is>
          <t>Restaurant/fast-food - defaulted to Eat Out; move to Food - Ailynn/Chris/Misc if you know whose order it was</t>
        </is>
      </c>
    </row>
    <row r="231">
      <c r="A231" s="9" t="inlineStr">
        <is>
          <t>Checking ...0861</t>
        </is>
      </c>
      <c r="B231" s="29" t="n">
        <v>46238</v>
      </c>
      <c r="C231" s="9" t="inlineStr">
        <is>
          <t>PAYPAL           PURCHASE   TIKTOK SHOP     WEB ID: PAYPALSI77</t>
        </is>
      </c>
      <c r="D231" s="10" t="n">
        <v>-32.07</v>
      </c>
      <c r="E231" s="9" t="inlineStr">
        <is>
          <t>ACH_DEBIT</t>
        </is>
      </c>
      <c r="F231" s="10" t="n">
        <v>5278.24</v>
      </c>
      <c r="G231" s="9" t="inlineStr">
        <is>
          <t>paypal tiktok</t>
        </is>
      </c>
      <c r="H231">
        <f>IFERROR(INDEX(Categories!$A$5:$A$93,MATCH(G231,Categories!$B$5:$B$93,0)),"")</f>
        <v/>
      </c>
      <c r="I231" s="9" t="inlineStr">
        <is>
          <t>H</t>
        </is>
      </c>
      <c r="J231" s="9" t="inlineStr"/>
    </row>
    <row r="232">
      <c r="A232" s="9" t="inlineStr">
        <is>
          <t>Checking ...0861</t>
        </is>
      </c>
      <c r="B232" s="29" t="n">
        <v>46238</v>
      </c>
      <c r="C232" s="9" t="inlineStr">
        <is>
          <t>PAYPAL           TRANSFER                   PPD ID: PAYPALSD11</t>
        </is>
      </c>
      <c r="D232" s="10" t="n">
        <v>1828</v>
      </c>
      <c r="E232" s="9" t="inlineStr">
        <is>
          <t>ACH_CREDIT</t>
        </is>
      </c>
      <c r="F232" s="10" t="n">
        <v>5310.31</v>
      </c>
      <c r="G232" s="9" t="inlineStr">
        <is>
          <t>Transfer - PayPal to Checking</t>
        </is>
      </c>
      <c r="H232">
        <f>IFERROR(INDEX(Categories!$A$5:$A$93,MATCH(G232,Categories!$B$5:$B$93,0)),"")</f>
        <v/>
      </c>
      <c r="I232" s="9" t="inlineStr">
        <is>
          <t>H</t>
        </is>
      </c>
      <c r="J232" s="9" t="inlineStr"/>
    </row>
    <row r="233">
      <c r="A233" s="9" t="inlineStr">
        <is>
          <t>Checking ...0861</t>
        </is>
      </c>
      <c r="B233" s="29" t="n">
        <v>46237</v>
      </c>
      <c r="C233" s="9" t="inlineStr">
        <is>
          <t>WAL-MART #5751 SALINAS CA                    08/03</t>
        </is>
      </c>
      <c r="D233" s="10" t="n">
        <v>-3.2</v>
      </c>
      <c r="E233" s="9" t="inlineStr">
        <is>
          <t>DEBIT_CARD</t>
        </is>
      </c>
      <c r="F233" s="10" t="n">
        <v>3482.31</v>
      </c>
      <c r="G233" s="9" t="inlineStr">
        <is>
          <t>Groceries - Walmart</t>
        </is>
      </c>
      <c r="H233">
        <f>IFERROR(INDEX(Categories!$A$5:$A$93,MATCH(G233,Categories!$B$5:$B$93,0)),"")</f>
        <v/>
      </c>
      <c r="I233" s="9" t="inlineStr">
        <is>
          <t>H</t>
        </is>
      </c>
      <c r="J233" s="9" t="inlineStr"/>
    </row>
    <row r="234">
      <c r="A234" s="9" t="inlineStr">
        <is>
          <t>Checking ...0861</t>
        </is>
      </c>
      <c r="B234" s="29" t="n">
        <v>46237</v>
      </c>
      <c r="C234" s="9" t="inlineStr">
        <is>
          <t>PAYPAL           PURCHASE   TIKTOK SHOP     WEB ID: PAYPALSI77</t>
        </is>
      </c>
      <c r="D234" s="10" t="n">
        <v>-2.52</v>
      </c>
      <c r="E234" s="9" t="inlineStr">
        <is>
          <t>ACH_DEBIT</t>
        </is>
      </c>
      <c r="F234" s="10" t="n">
        <v>3485.51</v>
      </c>
      <c r="G234" s="9" t="inlineStr">
        <is>
          <t>paypal tiktok</t>
        </is>
      </c>
      <c r="H234">
        <f>IFERROR(INDEX(Categories!$A$5:$A$93,MATCH(G234,Categories!$B$5:$B$93,0)),"")</f>
        <v/>
      </c>
      <c r="I234" s="9" t="inlineStr">
        <is>
          <t>H</t>
        </is>
      </c>
      <c r="J234" s="9" t="inlineStr"/>
    </row>
    <row r="235">
      <c r="A235" s="9" t="inlineStr">
        <is>
          <t>Checking ...0861</t>
        </is>
      </c>
      <c r="B235" s="29" t="n">
        <v>46237</v>
      </c>
      <c r="C235" s="9" t="inlineStr">
        <is>
          <t>PREMIER BANKCARD AUTOPAY    G     339357146 WEB ID: 2470535472</t>
        </is>
      </c>
      <c r="D235" s="10" t="n">
        <v>-6.31</v>
      </c>
      <c r="E235" s="9" t="inlineStr">
        <is>
          <t>ACH_DEBIT</t>
        </is>
      </c>
      <c r="F235" s="10" t="n">
        <v>3488.03</v>
      </c>
      <c r="G235" s="9" t="inlineStr">
        <is>
          <t>CC - FPB</t>
        </is>
      </c>
      <c r="H235">
        <f>IFERROR(INDEX(Categories!$A$5:$A$93,MATCH(G235,Categories!$B$5:$B$93,0)),"")</f>
        <v/>
      </c>
      <c r="I235" s="9" t="inlineStr">
        <is>
          <t>H</t>
        </is>
      </c>
      <c r="J235" s="9" t="inlineStr"/>
    </row>
    <row r="236">
      <c r="A236" s="9" t="inlineStr">
        <is>
          <t>Checking ...0861</t>
        </is>
      </c>
      <c r="B236" s="29" t="n">
        <v>46237</v>
      </c>
      <c r="C236" s="9" t="inlineStr">
        <is>
          <t>PAYPAL           PURCHASE   TIKTOK SHOP     WEB ID: PAYPALSI77</t>
        </is>
      </c>
      <c r="D236" s="10" t="n">
        <v>-12.5</v>
      </c>
      <c r="E236" s="9" t="inlineStr">
        <is>
          <t>ACH_DEBIT</t>
        </is>
      </c>
      <c r="F236" s="10" t="n">
        <v>3494.34</v>
      </c>
      <c r="G236" s="9" t="inlineStr">
        <is>
          <t>paypal tiktok</t>
        </is>
      </c>
      <c r="H236">
        <f>IFERROR(INDEX(Categories!$A$5:$A$93,MATCH(G236,Categories!$B$5:$B$93,0)),"")</f>
        <v/>
      </c>
      <c r="I236" s="9" t="inlineStr">
        <is>
          <t>H</t>
        </is>
      </c>
      <c r="J236" s="9" t="inlineStr"/>
    </row>
    <row r="237">
      <c r="A237" s="9" t="inlineStr">
        <is>
          <t>Checking ...0861</t>
        </is>
      </c>
      <c r="B237" s="29" t="n">
        <v>46237</v>
      </c>
      <c r="C237" s="9" t="inlineStr">
        <is>
          <t>AMAZON MARKETPLA INTERNET   043000092276496 WEB ID: 9049016352</t>
        </is>
      </c>
      <c r="D237" s="10" t="n">
        <v>-19.24</v>
      </c>
      <c r="E237" s="9" t="inlineStr">
        <is>
          <t>ACH_DEBIT</t>
        </is>
      </c>
      <c r="F237" s="10" t="n">
        <v>3506.84</v>
      </c>
      <c r="G237" s="9" t="inlineStr">
        <is>
          <t>Shop - Amazon</t>
        </is>
      </c>
      <c r="H237">
        <f>IFERROR(INDEX(Categories!$A$5:$A$93,MATCH(G237,Categories!$B$5:$B$93,0)),"")</f>
        <v/>
      </c>
      <c r="I237" s="9" t="inlineStr">
        <is>
          <t>H</t>
        </is>
      </c>
      <c r="J237" s="9" t="inlineStr"/>
    </row>
    <row r="238">
      <c r="A238" s="9" t="inlineStr">
        <is>
          <t>Checking ...0861</t>
        </is>
      </c>
      <c r="B238" s="29" t="n">
        <v>46237</v>
      </c>
      <c r="C238" s="9" t="inlineStr">
        <is>
          <t>MCDONALD'S F7605 KING CITY CA                08/02</t>
        </is>
      </c>
      <c r="D238" s="10" t="n">
        <v>-37.48</v>
      </c>
      <c r="E238" s="9" t="inlineStr">
        <is>
          <t>DEBIT_CARD</t>
        </is>
      </c>
      <c r="F238" s="10" t="n">
        <v>3526.08</v>
      </c>
      <c r="G238" s="9" t="inlineStr">
        <is>
          <t>Food - Eat Out</t>
        </is>
      </c>
      <c r="H238">
        <f>IFERROR(INDEX(Categories!$A$5:$A$93,MATCH(G238,Categories!$B$5:$B$93,0)),"")</f>
        <v/>
      </c>
      <c r="I238" s="9" t="inlineStr">
        <is>
          <t>D</t>
        </is>
      </c>
      <c r="J238" s="9" t="inlineStr">
        <is>
          <t>Restaurant/fast-food - defaulted to Eat Out; move to Food - Ailynn/Chris/Misc if you know whose order it was</t>
        </is>
      </c>
    </row>
    <row r="239">
      <c r="A239" s="9" t="inlineStr">
        <is>
          <t>Checking ...0861</t>
        </is>
      </c>
      <c r="B239" s="29" t="n">
        <v>46237</v>
      </c>
      <c r="C239" s="9" t="inlineStr">
        <is>
          <t>SQ *LAKE NACIMIENTO San Mateo CA             08/02</t>
        </is>
      </c>
      <c r="D239" s="10" t="n">
        <v>-19</v>
      </c>
      <c r="E239" s="9" t="inlineStr">
        <is>
          <t>DEBIT_CARD</t>
        </is>
      </c>
      <c r="F239" s="10" t="n">
        <v>3563.56</v>
      </c>
      <c r="G239" s="9" t="inlineStr">
        <is>
          <t>Food - Eat Out</t>
        </is>
      </c>
      <c r="H239">
        <f>IFERROR(INDEX(Categories!$A$5:$A$93,MATCH(G239,Categories!$B$5:$B$93,0)),"")</f>
        <v/>
      </c>
      <c r="I239" s="9" t="inlineStr">
        <is>
          <t>D</t>
        </is>
      </c>
      <c r="J239" s="9" t="inlineStr"/>
    </row>
    <row r="240">
      <c r="A240" s="9" t="inlineStr">
        <is>
          <t>Checking ...0861</t>
        </is>
      </c>
      <c r="B240" s="29" t="n">
        <v>46237</v>
      </c>
      <c r="C240" s="9" t="inlineStr">
        <is>
          <t>FOODSCO #0387 SOLEDAD CA                     08/02</t>
        </is>
      </c>
      <c r="D240" s="10" t="n">
        <v>-34.6</v>
      </c>
      <c r="E240" s="9" t="inlineStr">
        <is>
          <t>DEBIT_CARD</t>
        </is>
      </c>
      <c r="F240" s="10" t="n">
        <v>3582.56</v>
      </c>
      <c r="G240" s="9" t="inlineStr">
        <is>
          <t>Groceries - Others</t>
        </is>
      </c>
      <c r="H240">
        <f>IFERROR(INDEX(Categories!$A$5:$A$93,MATCH(G240,Categories!$B$5:$B$93,0)),"")</f>
        <v/>
      </c>
      <c r="I240" s="9" t="inlineStr">
        <is>
          <t>H</t>
        </is>
      </c>
      <c r="J240" s="9" t="inlineStr"/>
    </row>
    <row r="241">
      <c r="A241" s="9" t="inlineStr">
        <is>
          <t>Checking ...0861</t>
        </is>
      </c>
      <c r="B241" s="29" t="n">
        <v>46237</v>
      </c>
      <c r="C241" s="9" t="inlineStr">
        <is>
          <t>SUBWAY 30008 SOLEDAD CA                      08/02</t>
        </is>
      </c>
      <c r="D241" s="10" t="n">
        <v>-44.43</v>
      </c>
      <c r="E241" s="9" t="inlineStr">
        <is>
          <t>DEBIT_CARD</t>
        </is>
      </c>
      <c r="F241" s="10" t="n">
        <v>3617.16</v>
      </c>
      <c r="G241" s="9" t="inlineStr">
        <is>
          <t>Food - Eat Out</t>
        </is>
      </c>
      <c r="H241">
        <f>IFERROR(INDEX(Categories!$A$5:$A$93,MATCH(G241,Categories!$B$5:$B$93,0)),"")</f>
        <v/>
      </c>
      <c r="I241" s="9" t="inlineStr">
        <is>
          <t>D</t>
        </is>
      </c>
      <c r="J241" s="9" t="inlineStr">
        <is>
          <t>Restaurant/fast-food - defaulted to Eat Out; move to Food - Ailynn/Chris/Misc if you know whose order it was</t>
        </is>
      </c>
    </row>
    <row r="242">
      <c r="A242" s="9" t="inlineStr">
        <is>
          <t>Checking ...0861</t>
        </is>
      </c>
      <c r="B242" s="29" t="n">
        <v>46237</v>
      </c>
      <c r="C242" s="9" t="inlineStr">
        <is>
          <t>SP+AFF * HOWLER BIKE 855-423-3729 CA         08/02</t>
        </is>
      </c>
      <c r="D242" s="10" t="n">
        <v>-47.93</v>
      </c>
      <c r="E242" s="9" t="inlineStr">
        <is>
          <t>DEBIT_CARD</t>
        </is>
      </c>
      <c r="F242" s="10" t="n">
        <v>3661.59</v>
      </c>
      <c r="G242" s="9" t="inlineStr">
        <is>
          <t>For Bike</t>
        </is>
      </c>
      <c r="H242">
        <f>IFERROR(INDEX(Categories!$A$5:$A$93,MATCH(G242,Categories!$B$5:$B$93,0)),"")</f>
        <v/>
      </c>
      <c r="I242" s="9" t="inlineStr">
        <is>
          <t>H</t>
        </is>
      </c>
      <c r="J242" s="9" t="inlineStr"/>
    </row>
    <row r="243">
      <c r="A243" s="9" t="inlineStr">
        <is>
          <t>Checking ...0861</t>
        </is>
      </c>
      <c r="B243" s="29" t="n">
        <v>46237</v>
      </c>
      <c r="C243" s="9" t="inlineStr">
        <is>
          <t>GIV*FIRST PRESBY 831-4227811 CA              08/02</t>
        </is>
      </c>
      <c r="D243" s="10" t="n">
        <v>-20</v>
      </c>
      <c r="E243" s="9" t="inlineStr">
        <is>
          <t>DEBIT_CARD</t>
        </is>
      </c>
      <c r="F243" s="10" t="n">
        <v>3709.52</v>
      </c>
      <c r="G243" s="9" t="inlineStr">
        <is>
          <t>Others</t>
        </is>
      </c>
      <c r="H243">
        <f>IFERROR(INDEX(Categories!$A$5:$A$93,MATCH(G243,Categories!$B$5:$B$93,0)),"")</f>
        <v/>
      </c>
      <c r="I243" s="9" t="inlineStr">
        <is>
          <t>H</t>
        </is>
      </c>
      <c r="J243" s="9" t="inlineStr">
        <is>
          <t>Recurring $20 church/charitable giving - no matching category in your list, put under Others</t>
        </is>
      </c>
    </row>
    <row r="244">
      <c r="A244" s="9" t="inlineStr">
        <is>
          <t>Checking ...0861</t>
        </is>
      </c>
      <c r="B244" s="29" t="n">
        <v>46237</v>
      </c>
      <c r="C244" s="9" t="inlineStr">
        <is>
          <t>WM SUPERCENTER #5751 SALINAS CA              08/01</t>
        </is>
      </c>
      <c r="D244" s="10" t="n">
        <v>-13.35</v>
      </c>
      <c r="E244" s="9" t="inlineStr">
        <is>
          <t>DEBIT_CARD</t>
        </is>
      </c>
      <c r="F244" s="10" t="n">
        <v>3729.52</v>
      </c>
      <c r="G244" s="9" t="inlineStr">
        <is>
          <t>Groceries - Walmart</t>
        </is>
      </c>
      <c r="H244">
        <f>IFERROR(INDEX(Categories!$A$5:$A$93,MATCH(G244,Categories!$B$5:$B$93,0)),"")</f>
        <v/>
      </c>
      <c r="I244" s="9" t="inlineStr">
        <is>
          <t>H</t>
        </is>
      </c>
      <c r="J244" s="9" t="inlineStr"/>
    </row>
    <row r="245">
      <c r="A245" s="9" t="inlineStr">
        <is>
          <t>Checking ...0861</t>
        </is>
      </c>
      <c r="B245" s="29" t="n">
        <v>46237</v>
      </c>
      <c r="C245" s="9" t="inlineStr">
        <is>
          <t>HARBOR FREIGHT TOOLS U SALINAS CA            08/01</t>
        </is>
      </c>
      <c r="D245" s="10" t="n">
        <v>-89.55</v>
      </c>
      <c r="E245" s="9" t="inlineStr">
        <is>
          <t>DEBIT_CARD</t>
        </is>
      </c>
      <c r="F245" s="10" t="n">
        <v>3742.87</v>
      </c>
      <c r="G245" s="9" t="inlineStr">
        <is>
          <t>Others</t>
        </is>
      </c>
      <c r="H245">
        <f>IFERROR(INDEX(Categories!$A$5:$A$93,MATCH(G245,Categories!$B$5:$B$93,0)),"")</f>
        <v/>
      </c>
      <c r="I245" s="9" t="inlineStr">
        <is>
          <t>D</t>
        </is>
      </c>
      <c r="J245" s="9" t="inlineStr">
        <is>
          <t>Home-improvement store - no matching category in your list</t>
        </is>
      </c>
    </row>
    <row r="246">
      <c r="A246" s="9" t="inlineStr">
        <is>
          <t>Checking ...0861</t>
        </is>
      </c>
      <c r="B246" s="29" t="n">
        <v>46237</v>
      </c>
      <c r="C246" s="9" t="inlineStr">
        <is>
          <t>WM SUPERCENTER #2458 SALINAS CA              08/01</t>
        </is>
      </c>
      <c r="D246" s="10" t="n">
        <v>-112.97</v>
      </c>
      <c r="E246" s="9" t="inlineStr">
        <is>
          <t>DEBIT_CARD</t>
        </is>
      </c>
      <c r="F246" s="10" t="n">
        <v>3832.42</v>
      </c>
      <c r="G246" s="9" t="inlineStr">
        <is>
          <t>Groceries - Walmart</t>
        </is>
      </c>
      <c r="H246">
        <f>IFERROR(INDEX(Categories!$A$5:$A$93,MATCH(G246,Categories!$B$5:$B$93,0)),"")</f>
        <v/>
      </c>
      <c r="I246" s="9" t="inlineStr">
        <is>
          <t>H</t>
        </is>
      </c>
      <c r="J246" s="9" t="inlineStr"/>
    </row>
    <row r="247">
      <c r="A247" s="9" t="inlineStr">
        <is>
          <t>Checking ...0861</t>
        </is>
      </c>
      <c r="B247" s="29" t="n">
        <v>46237</v>
      </c>
      <c r="C247" s="9" t="inlineStr">
        <is>
          <t>KFC #129 https://prod. CA                    08/01</t>
        </is>
      </c>
      <c r="D247" s="10" t="n">
        <v>-58.62</v>
      </c>
      <c r="E247" s="9" t="inlineStr">
        <is>
          <t>DEBIT_CARD</t>
        </is>
      </c>
      <c r="F247" s="10" t="n">
        <v>3945.39</v>
      </c>
      <c r="G247" s="9" t="inlineStr">
        <is>
          <t>Food - Eat Out</t>
        </is>
      </c>
      <c r="H247">
        <f>IFERROR(INDEX(Categories!$A$5:$A$93,MATCH(G247,Categories!$B$5:$B$93,0)),"")</f>
        <v/>
      </c>
      <c r="I247" s="9" t="inlineStr">
        <is>
          <t>D</t>
        </is>
      </c>
      <c r="J247" s="9" t="inlineStr">
        <is>
          <t>Restaurant/fast-food - defaulted to Eat Out; move to Food - Ailynn/Chris/Misc if you know whose order it was</t>
        </is>
      </c>
    </row>
    <row r="248">
      <c r="A248" s="9" t="inlineStr">
        <is>
          <t>Checking ...0861</t>
        </is>
      </c>
      <c r="B248" s="29" t="n">
        <v>46237</v>
      </c>
      <c r="C248" s="9" t="inlineStr">
        <is>
          <t>PETSMART # 0074 SALINAS CA           073500  08/01</t>
        </is>
      </c>
      <c r="D248" s="10" t="n">
        <v>-69.89</v>
      </c>
      <c r="E248" s="9" t="inlineStr">
        <is>
          <t>DEBIT_CARD</t>
        </is>
      </c>
      <c r="F248" s="10" t="n">
        <v>4004.01</v>
      </c>
      <c r="G248" s="9" t="inlineStr">
        <is>
          <t>Others</t>
        </is>
      </c>
      <c r="H248">
        <f>IFERROR(INDEX(Categories!$A$5:$A$93,MATCH(G248,Categories!$B$5:$B$93,0)),"")</f>
        <v/>
      </c>
      <c r="I248" s="9" t="inlineStr">
        <is>
          <t>D</t>
        </is>
      </c>
      <c r="J248" s="9" t="inlineStr">
        <is>
          <t>Pet supplies - no matching category in your list</t>
        </is>
      </c>
    </row>
    <row r="249">
      <c r="A249" s="9" t="inlineStr">
        <is>
          <t>Checking ...0861</t>
        </is>
      </c>
      <c r="B249" s="29" t="n">
        <v>46237</v>
      </c>
      <c r="C249" s="9" t="inlineStr">
        <is>
          <t>3404 EL POLLO LOCO SALINAS CA                08/01</t>
        </is>
      </c>
      <c r="D249" s="10" t="n">
        <v>-30.02</v>
      </c>
      <c r="E249" s="9" t="inlineStr">
        <is>
          <t>DEBIT_CARD</t>
        </is>
      </c>
      <c r="F249" s="10" t="n">
        <v>4073.9</v>
      </c>
      <c r="G249" s="9" t="inlineStr">
        <is>
          <t>Others</t>
        </is>
      </c>
      <c r="H249">
        <f>IFERROR(INDEX(Categories!$A$5:$A$93,MATCH(G249,Categories!$B$5:$B$93,0)),"")</f>
        <v/>
      </c>
      <c r="I249" s="9" t="inlineStr">
        <is>
          <t>R</t>
        </is>
      </c>
      <c r="J249" s="9" t="inlineStr">
        <is>
          <t>Unrecognized charge - please tell me what this is</t>
        </is>
      </c>
    </row>
    <row r="250">
      <c r="A250" s="9" t="inlineStr">
        <is>
          <t>Checking ...0861</t>
        </is>
      </c>
      <c r="B250" s="29" t="n">
        <v>46237</v>
      </c>
      <c r="C250" s="9" t="inlineStr">
        <is>
          <t>Klarna*Klarna Columbus OH                    07/31</t>
        </is>
      </c>
      <c r="D250" s="10" t="n">
        <v>-24.83</v>
      </c>
      <c r="E250" s="9" t="inlineStr">
        <is>
          <t>DEBIT_CARD</t>
        </is>
      </c>
      <c r="F250" s="10" t="n">
        <v>4103.92</v>
      </c>
      <c r="G250" s="9" t="inlineStr">
        <is>
          <t>Klarna</t>
        </is>
      </c>
      <c r="H250">
        <f>IFERROR(INDEX(Categories!$A$5:$A$93,MATCH(G250,Categories!$B$5:$B$93,0)),"")</f>
        <v/>
      </c>
      <c r="I250" s="9" t="inlineStr">
        <is>
          <t>H</t>
        </is>
      </c>
      <c r="J250" s="9" t="inlineStr"/>
    </row>
    <row r="251">
      <c r="A251" s="9" t="inlineStr">
        <is>
          <t>Checking ...0861</t>
        </is>
      </c>
      <c r="B251" s="29" t="n">
        <v>46237</v>
      </c>
      <c r="C251" s="9" t="inlineStr">
        <is>
          <t>EXXON SALINAS MAIN INC SALINAS CA            07/31</t>
        </is>
      </c>
      <c r="D251" s="10" t="n">
        <v>-80.72</v>
      </c>
      <c r="E251" s="9" t="inlineStr">
        <is>
          <t>DEBIT_CARD</t>
        </is>
      </c>
      <c r="F251" s="10" t="n">
        <v>4128.75</v>
      </c>
      <c r="G251" s="9" t="inlineStr">
        <is>
          <t>Gas</t>
        </is>
      </c>
      <c r="H251">
        <f>IFERROR(INDEX(Categories!$A$5:$A$93,MATCH(G251,Categories!$B$5:$B$93,0)),"")</f>
        <v/>
      </c>
      <c r="I251" s="9" t="inlineStr">
        <is>
          <t>D</t>
        </is>
      </c>
      <c r="J251" s="9" t="inlineStr"/>
    </row>
    <row r="252">
      <c r="A252" s="9" t="inlineStr">
        <is>
          <t>Checking ...0861</t>
        </is>
      </c>
      <c r="B252" s="29" t="n">
        <v>46237</v>
      </c>
      <c r="C252" s="9" t="inlineStr">
        <is>
          <t>KLARNA*KLARNA WWW.KLARNA.CO DE               07/31</t>
        </is>
      </c>
      <c r="D252" s="10" t="n">
        <v>-7.34</v>
      </c>
      <c r="E252" s="9" t="inlineStr">
        <is>
          <t>DEBIT_CARD</t>
        </is>
      </c>
      <c r="F252" s="10" t="n">
        <v>4209.47</v>
      </c>
      <c r="G252" s="9" t="inlineStr">
        <is>
          <t>Klarna</t>
        </is>
      </c>
      <c r="H252">
        <f>IFERROR(INDEX(Categories!$A$5:$A$93,MATCH(G252,Categories!$B$5:$B$93,0)),"")</f>
        <v/>
      </c>
      <c r="I252" s="9" t="inlineStr">
        <is>
          <t>H</t>
        </is>
      </c>
      <c r="J252" s="9" t="inlineStr"/>
    </row>
    <row r="253">
      <c r="A253" s="9" t="inlineStr">
        <is>
          <t>Checking ...0861</t>
        </is>
      </c>
      <c r="B253" s="29" t="n">
        <v>46237</v>
      </c>
      <c r="C253" s="9" t="inlineStr">
        <is>
          <t>IHOP #0660 SALINAS CA                        07/31</t>
        </is>
      </c>
      <c r="D253" s="10" t="n">
        <v>-58.09</v>
      </c>
      <c r="E253" s="9" t="inlineStr">
        <is>
          <t>DEBIT_CARD</t>
        </is>
      </c>
      <c r="F253" s="10" t="n">
        <v>4216.81</v>
      </c>
      <c r="G253" s="9" t="inlineStr">
        <is>
          <t>Food - Eat Out</t>
        </is>
      </c>
      <c r="H253">
        <f>IFERROR(INDEX(Categories!$A$5:$A$93,MATCH(G253,Categories!$B$5:$B$93,0)),"")</f>
        <v/>
      </c>
      <c r="I253" s="9" t="inlineStr">
        <is>
          <t>D</t>
        </is>
      </c>
      <c r="J253" s="9" t="inlineStr">
        <is>
          <t>Restaurant/fast-food - defaulted to Eat Out; move to Food - Ailynn/Chris/Misc if you know whose order it was</t>
        </is>
      </c>
    </row>
    <row r="254">
      <c r="A254" s="9" t="inlineStr">
        <is>
          <t>Checking ...0861</t>
        </is>
      </c>
      <c r="B254" s="29" t="n">
        <v>46237</v>
      </c>
      <c r="C254" s="9" t="inlineStr">
        <is>
          <t>TEAMSTERS        PAYMENTS                   PPD ID: 3046100016</t>
        </is>
      </c>
      <c r="D254" s="10" t="n">
        <v>4274.9</v>
      </c>
      <c r="E254" s="9" t="inlineStr">
        <is>
          <t>ACH_CREDIT</t>
        </is>
      </c>
      <c r="F254" s="10" t="n">
        <v>4274.9</v>
      </c>
      <c r="G254" s="9" t="inlineStr">
        <is>
          <t>Chris - Pension</t>
        </is>
      </c>
      <c r="H254">
        <f>IFERROR(INDEX(Categories!$A$5:$A$93,MATCH(G254,Categories!$B$5:$B$93,0)),"")</f>
        <v/>
      </c>
      <c r="I254" s="9" t="inlineStr">
        <is>
          <t>R</t>
        </is>
      </c>
      <c r="J254" s="9" t="inlineStr">
        <is>
          <t>Recurring ~$4,275 credit - assumed this is Chris' Teamsters pension, please confirm</t>
        </is>
      </c>
    </row>
    <row r="255">
      <c r="A255" s="9" t="inlineStr">
        <is>
          <t>Checking ...0861</t>
        </is>
      </c>
      <c r="B255" s="29" t="n">
        <v>46234</v>
      </c>
      <c r="C255" s="9" t="inlineStr">
        <is>
          <t>PAYPAL           PURCHASE   TIKTOK SHOP     WEB ID: PAYPALSI77</t>
        </is>
      </c>
      <c r="D255" s="10" t="n">
        <v>-40.4</v>
      </c>
      <c r="E255" s="9" t="inlineStr">
        <is>
          <t>ACH_DEBIT</t>
        </is>
      </c>
      <c r="F255" s="10" t="n">
        <v>0</v>
      </c>
      <c r="G255" s="9" t="inlineStr">
        <is>
          <t>paypal tiktok</t>
        </is>
      </c>
      <c r="H255">
        <f>IFERROR(INDEX(Categories!$A$5:$A$93,MATCH(G255,Categories!$B$5:$B$93,0)),"")</f>
        <v/>
      </c>
      <c r="I255" s="9" t="inlineStr">
        <is>
          <t>H</t>
        </is>
      </c>
      <c r="J255" s="9" t="inlineStr"/>
    </row>
    <row r="256">
      <c r="A256" s="9" t="inlineStr">
        <is>
          <t>Checking ...0861</t>
        </is>
      </c>
      <c r="B256" s="29" t="n">
        <v>46234</v>
      </c>
      <c r="C256" s="9" t="inlineStr">
        <is>
          <t>PAYPAL           PURCHASE   TIKTOK SHOP     WEB ID: PAYPALSI77</t>
        </is>
      </c>
      <c r="D256" s="10" t="n">
        <v>-58.21</v>
      </c>
      <c r="E256" s="9" t="inlineStr">
        <is>
          <t>ACH_DEBIT</t>
        </is>
      </c>
      <c r="F256" s="10" t="n">
        <v>40.4</v>
      </c>
      <c r="G256" s="9" t="inlineStr">
        <is>
          <t>paypal tiktok</t>
        </is>
      </c>
      <c r="H256">
        <f>IFERROR(INDEX(Categories!$A$5:$A$93,MATCH(G256,Categories!$B$5:$B$93,0)),"")</f>
        <v/>
      </c>
      <c r="I256" s="9" t="inlineStr">
        <is>
          <t>H</t>
        </is>
      </c>
      <c r="J256" s="9" t="inlineStr"/>
    </row>
    <row r="257">
      <c r="A257" s="9" t="inlineStr">
        <is>
          <t>Checking ...0861</t>
        </is>
      </c>
      <c r="B257" s="29" t="n">
        <v>46234</v>
      </c>
      <c r="C257" s="9" t="inlineStr">
        <is>
          <t>Zelle payment to ANGELIE JPM99cr8lavg</t>
        </is>
      </c>
      <c r="D257" s="10" t="n">
        <v>-20</v>
      </c>
      <c r="E257" s="9" t="inlineStr">
        <is>
          <t>CHASE_TO_PARTNERFI</t>
        </is>
      </c>
      <c r="F257" s="10" t="n">
        <v>98.61</v>
      </c>
      <c r="G257" s="9" t="inlineStr">
        <is>
          <t>Others</t>
        </is>
      </c>
      <c r="H257">
        <f>IFERROR(INDEX(Categories!$A$5:$A$93,MATCH(G257,Categories!$B$5:$B$93,0)),"")</f>
        <v/>
      </c>
      <c r="I257" s="9" t="inlineStr">
        <is>
          <t>R</t>
        </is>
      </c>
      <c r="J257" s="9" t="inlineStr">
        <is>
          <t>Zelle sent - please tell me who this person is so I can map them to a category</t>
        </is>
      </c>
    </row>
    <row r="258">
      <c r="A258" s="9" t="inlineStr">
        <is>
          <t>Checking ...0861</t>
        </is>
      </c>
      <c r="B258" s="29" t="n">
        <v>46234</v>
      </c>
      <c r="C258" s="9" t="inlineStr">
        <is>
          <t>PAYPAL           TRANSFER   ADD TO BALANCE  WEB ID: PAYPALSD22</t>
        </is>
      </c>
      <c r="D258" s="10" t="n">
        <v>-50</v>
      </c>
      <c r="E258" s="9" t="inlineStr">
        <is>
          <t>ACH_DEBIT</t>
        </is>
      </c>
      <c r="F258" s="10" t="n">
        <v>118.61</v>
      </c>
      <c r="G258" s="9" t="inlineStr">
        <is>
          <t>Transfer - Checking to PayPal</t>
        </is>
      </c>
      <c r="H258">
        <f>IFERROR(INDEX(Categories!$A$5:$A$93,MATCH(G258,Categories!$B$5:$B$93,0)),"")</f>
        <v/>
      </c>
      <c r="I258" s="9" t="inlineStr">
        <is>
          <t>H</t>
        </is>
      </c>
      <c r="J258" s="9" t="inlineStr"/>
    </row>
    <row r="259">
      <c r="A259" s="9" t="inlineStr">
        <is>
          <t>Checking ...0861</t>
        </is>
      </c>
      <c r="B259" s="29" t="n">
        <v>46234</v>
      </c>
      <c r="C259" s="9" t="inlineStr">
        <is>
          <t>PAYPAL           PURCHASE   TIKTOK SHOP     WEB ID: PAYPALSI77</t>
        </is>
      </c>
      <c r="D259" s="10" t="n">
        <v>-22.84</v>
      </c>
      <c r="E259" s="9" t="inlineStr">
        <is>
          <t>ACH_DEBIT</t>
        </is>
      </c>
      <c r="F259" s="10" t="n">
        <v>168.61</v>
      </c>
      <c r="G259" s="9" t="inlineStr">
        <is>
          <t>paypal tiktok</t>
        </is>
      </c>
      <c r="H259">
        <f>IFERROR(INDEX(Categories!$A$5:$A$93,MATCH(G259,Categories!$B$5:$B$93,0)),"")</f>
        <v/>
      </c>
      <c r="I259" s="9" t="inlineStr">
        <is>
          <t>H</t>
        </is>
      </c>
      <c r="J259" s="9" t="inlineStr"/>
    </row>
    <row r="260">
      <c r="A260" s="9" t="inlineStr">
        <is>
          <t>Checking ...0861</t>
        </is>
      </c>
      <c r="B260" s="29" t="n">
        <v>46234</v>
      </c>
      <c r="C260" s="9" t="inlineStr">
        <is>
          <t>WHATNOT WHATNOT.COM CA                       07/31</t>
        </is>
      </c>
      <c r="D260" s="10" t="n">
        <v>-35.27</v>
      </c>
      <c r="E260" s="9" t="inlineStr">
        <is>
          <t>DEBIT_CARD</t>
        </is>
      </c>
      <c r="F260" s="10" t="n">
        <v>191.45</v>
      </c>
      <c r="G260" s="9" t="inlineStr">
        <is>
          <t>Shop - Whatnot</t>
        </is>
      </c>
      <c r="H260">
        <f>IFERROR(INDEX(Categories!$A$5:$A$93,MATCH(G260,Categories!$B$5:$B$93,0)),"")</f>
        <v/>
      </c>
      <c r="I260" s="9" t="inlineStr">
        <is>
          <t>H</t>
        </is>
      </c>
      <c r="J260" s="9" t="inlineStr"/>
    </row>
    <row r="261">
      <c r="A261" s="9" t="inlineStr">
        <is>
          <t>Checking ...0861</t>
        </is>
      </c>
      <c r="B261" s="29" t="n">
        <v>46234</v>
      </c>
      <c r="C261" s="9" t="inlineStr">
        <is>
          <t>WHATNOT WHATNOT.COM CA                       07/31</t>
        </is>
      </c>
      <c r="D261" s="10" t="n">
        <v>-32.28</v>
      </c>
      <c r="E261" s="9" t="inlineStr">
        <is>
          <t>DEBIT_CARD</t>
        </is>
      </c>
      <c r="F261" s="10" t="n">
        <v>226.72</v>
      </c>
      <c r="G261" s="9" t="inlineStr">
        <is>
          <t>Shop - Whatnot</t>
        </is>
      </c>
      <c r="H261">
        <f>IFERROR(INDEX(Categories!$A$5:$A$93,MATCH(G261,Categories!$B$5:$B$93,0)),"")</f>
        <v/>
      </c>
      <c r="I261" s="9" t="inlineStr">
        <is>
          <t>H</t>
        </is>
      </c>
      <c r="J261" s="9" t="inlineStr"/>
    </row>
    <row r="262">
      <c r="A262" s="9" t="inlineStr">
        <is>
          <t>Checking ...0861</t>
        </is>
      </c>
      <c r="B262" s="29" t="n">
        <v>46234</v>
      </c>
      <c r="C262" s="9" t="inlineStr">
        <is>
          <t>GOHAN BUFFET SALINAS CA                      07/30</t>
        </is>
      </c>
      <c r="D262" s="10" t="n">
        <v>-89.95</v>
      </c>
      <c r="E262" s="9" t="inlineStr">
        <is>
          <t>DEBIT_CARD</t>
        </is>
      </c>
      <c r="F262" s="10" t="n">
        <v>259</v>
      </c>
      <c r="G262" s="9" t="inlineStr">
        <is>
          <t>Food - Eat Out</t>
        </is>
      </c>
      <c r="H262">
        <f>IFERROR(INDEX(Categories!$A$5:$A$93,MATCH(G262,Categories!$B$5:$B$93,0)),"")</f>
        <v/>
      </c>
      <c r="I262" s="9" t="inlineStr">
        <is>
          <t>D</t>
        </is>
      </c>
      <c r="J262" s="9" t="inlineStr">
        <is>
          <t>Restaurant/fast-food - defaulted to Eat Out; move to Food - Ailynn/Chris/Misc if you know whose order it was</t>
        </is>
      </c>
    </row>
    <row r="263">
      <c r="A263" s="9" t="inlineStr">
        <is>
          <t>Checking ...0861</t>
        </is>
      </c>
      <c r="B263" s="29" t="n">
        <v>46234</v>
      </c>
      <c r="C263" s="9" t="inlineStr">
        <is>
          <t>SP+AFF* AEROFLOWDYNAMI AFFIRM.COM CA         07/30</t>
        </is>
      </c>
      <c r="D263" s="10" t="n">
        <v>-19.56</v>
      </c>
      <c r="E263" s="9" t="inlineStr">
        <is>
          <t>DEBIT_CARD</t>
        </is>
      </c>
      <c r="F263" s="10" t="n">
        <v>348.95</v>
      </c>
      <c r="G263" s="9" t="inlineStr">
        <is>
          <t>Affirm</t>
        </is>
      </c>
      <c r="H263">
        <f>IFERROR(INDEX(Categories!$A$5:$A$93,MATCH(G263,Categories!$B$5:$B$93,0)),"")</f>
        <v/>
      </c>
      <c r="I263" s="9" t="inlineStr">
        <is>
          <t>H</t>
        </is>
      </c>
      <c r="J263" s="9" t="inlineStr"/>
    </row>
    <row r="264">
      <c r="A264" s="9" t="inlineStr">
        <is>
          <t>Checking ...0861</t>
        </is>
      </c>
      <c r="B264" s="29" t="n">
        <v>46234</v>
      </c>
      <c r="C264" s="9" t="inlineStr">
        <is>
          <t>WILLA A HISLE OD SALINAS CA                  07/30</t>
        </is>
      </c>
      <c r="D264" s="10" t="n">
        <v>-210</v>
      </c>
      <c r="E264" s="9" t="inlineStr">
        <is>
          <t>DEBIT_CARD</t>
        </is>
      </c>
      <c r="F264" s="10" t="n">
        <v>368.51</v>
      </c>
      <c r="G264" s="9" t="inlineStr">
        <is>
          <t>Others</t>
        </is>
      </c>
      <c r="H264">
        <f>IFERROR(INDEX(Categories!$A$5:$A$93,MATCH(G264,Categories!$B$5:$B$93,0)),"")</f>
        <v/>
      </c>
      <c r="I264" s="9" t="inlineStr">
        <is>
          <t>R</t>
        </is>
      </c>
      <c r="J264" s="9" t="inlineStr">
        <is>
          <t>Unrecognized charge - please tell me what this is</t>
        </is>
      </c>
    </row>
    <row r="265">
      <c r="A265" s="9" t="inlineStr">
        <is>
          <t>Checking ...0861</t>
        </is>
      </c>
      <c r="B265" s="29" t="n">
        <v>46234</v>
      </c>
      <c r="C265" s="9" t="inlineStr">
        <is>
          <t>THE UPS STORE 7054 831-7899400 CA            07/30</t>
        </is>
      </c>
      <c r="D265" s="10" t="n">
        <v>-6.23</v>
      </c>
      <c r="E265" s="9" t="inlineStr">
        <is>
          <t>DEBIT_CARD</t>
        </is>
      </c>
      <c r="F265" s="10" t="n">
        <v>578.51</v>
      </c>
      <c r="G265" s="9" t="inlineStr">
        <is>
          <t>Others</t>
        </is>
      </c>
      <c r="H265">
        <f>IFERROR(INDEX(Categories!$A$5:$A$93,MATCH(G265,Categories!$B$5:$B$93,0)),"")</f>
        <v/>
      </c>
      <c r="I265" s="9" t="inlineStr">
        <is>
          <t>D</t>
        </is>
      </c>
      <c r="J265" s="9" t="inlineStr">
        <is>
          <t>Shipping/postal</t>
        </is>
      </c>
    </row>
    <row r="266">
      <c r="A266" s="9" t="inlineStr">
        <is>
          <t>Checking ...0861</t>
        </is>
      </c>
      <c r="B266" s="29" t="n">
        <v>46234</v>
      </c>
      <c r="C266" s="9" t="inlineStr">
        <is>
          <t>GOOGLE *Google One 855-836-3987 CA           07/30</t>
        </is>
      </c>
      <c r="D266" s="10" t="n">
        <v>-2.99</v>
      </c>
      <c r="E266" s="9" t="inlineStr">
        <is>
          <t>DEBIT_CARD</t>
        </is>
      </c>
      <c r="F266" s="10" t="n">
        <v>584.74</v>
      </c>
      <c r="G266" s="9" t="inlineStr">
        <is>
          <t>Google 1</t>
        </is>
      </c>
      <c r="H266">
        <f>IFERROR(INDEX(Categories!$A$5:$A$93,MATCH(G266,Categories!$B$5:$B$93,0)),"")</f>
        <v/>
      </c>
      <c r="I266" s="9" t="inlineStr">
        <is>
          <t>H</t>
        </is>
      </c>
      <c r="J266" s="9" t="inlineStr"/>
    </row>
    <row r="267">
      <c r="A267" s="9" t="inlineStr">
        <is>
          <t>Checking ...0861</t>
        </is>
      </c>
      <c r="B267" s="29" t="n">
        <v>46234</v>
      </c>
      <c r="C267" s="9" t="inlineStr">
        <is>
          <t>ODP TRANSFER FROM SAVINGS ...5953</t>
        </is>
      </c>
      <c r="D267" s="10" t="n">
        <v>587.73</v>
      </c>
      <c r="E267" s="9" t="inlineStr">
        <is>
          <t>MISC_CREDIT</t>
        </is>
      </c>
      <c r="F267" s="10" t="n">
        <v>587.73</v>
      </c>
      <c r="G267" s="9" t="inlineStr">
        <is>
          <t>Transfer - Savings to Checking</t>
        </is>
      </c>
      <c r="H267">
        <f>IFERROR(INDEX(Categories!$A$5:$A$93,MATCH(G267,Categories!$B$5:$B$93,0)),"")</f>
        <v/>
      </c>
      <c r="I267" s="9" t="inlineStr">
        <is>
          <t>H</t>
        </is>
      </c>
      <c r="J267" s="9" t="inlineStr">
        <is>
          <t>Overdraft-protection auto-pull from savings</t>
        </is>
      </c>
    </row>
    <row r="268">
      <c r="A268" s="9" t="inlineStr">
        <is>
          <t>Checking ...0861</t>
        </is>
      </c>
      <c r="B268" s="29" t="n">
        <v>46233</v>
      </c>
      <c r="C268" s="9" t="inlineStr">
        <is>
          <t>CHECK 284</t>
        </is>
      </c>
      <c r="D268" s="10" t="n">
        <v>-500</v>
      </c>
      <c r="E268" s="9" t="inlineStr">
        <is>
          <t>CHECK_PAID</t>
        </is>
      </c>
      <c r="F268" s="10" t="n">
        <v>0</v>
      </c>
      <c r="G268" s="9" t="inlineStr">
        <is>
          <t>Others</t>
        </is>
      </c>
      <c r="H268">
        <f>IFERROR(INDEX(Categories!$A$5:$A$93,MATCH(G268,Categories!$B$5:$B$93,0)),"")</f>
        <v/>
      </c>
      <c r="I268" s="9" t="inlineStr">
        <is>
          <t>R</t>
        </is>
      </c>
      <c r="J268" s="9" t="inlineStr">
        <is>
          <t>Paper check - payee not shown on the statement; please tell me who checks were written to</t>
        </is>
      </c>
    </row>
    <row r="269">
      <c r="A269" s="9" t="inlineStr">
        <is>
          <t>Checking ...0861</t>
        </is>
      </c>
      <c r="B269" s="29" t="n">
        <v>46233</v>
      </c>
      <c r="C269" s="9" t="inlineStr">
        <is>
          <t>STARBUCKS 8007827282 800-782-7282 WA         07/30</t>
        </is>
      </c>
      <c r="D269" s="10" t="n">
        <v>-10</v>
      </c>
      <c r="E269" s="9" t="inlineStr">
        <is>
          <t>DEBIT_CARD</t>
        </is>
      </c>
      <c r="F269" s="10" t="n">
        <v>500</v>
      </c>
      <c r="G269" s="9" t="inlineStr">
        <is>
          <t>Food - Eat Out</t>
        </is>
      </c>
      <c r="H269">
        <f>IFERROR(INDEX(Categories!$A$5:$A$93,MATCH(G269,Categories!$B$5:$B$93,0)),"")</f>
        <v/>
      </c>
      <c r="I269" s="9" t="inlineStr">
        <is>
          <t>D</t>
        </is>
      </c>
      <c r="J269" s="9" t="inlineStr">
        <is>
          <t>Restaurant/fast-food - defaulted to Eat Out; move to Food - Ailynn/Chris/Misc if you know whose order it was</t>
        </is>
      </c>
    </row>
    <row r="270">
      <c r="A270" s="9" t="inlineStr">
        <is>
          <t>Checking ...0861</t>
        </is>
      </c>
      <c r="B270" s="29" t="n">
        <v>46233</v>
      </c>
      <c r="C270" s="9" t="inlineStr">
        <is>
          <t>ODP TRANSFER FROM SAVINGS ...5953</t>
        </is>
      </c>
      <c r="D270" s="10" t="n">
        <v>510</v>
      </c>
      <c r="E270" s="9" t="inlineStr">
        <is>
          <t>MISC_CREDIT</t>
        </is>
      </c>
      <c r="F270" s="10" t="n">
        <v>510</v>
      </c>
      <c r="G270" s="9" t="inlineStr">
        <is>
          <t>Transfer - Savings to Checking</t>
        </is>
      </c>
      <c r="H270">
        <f>IFERROR(INDEX(Categories!$A$5:$A$93,MATCH(G270,Categories!$B$5:$B$93,0)),"")</f>
        <v/>
      </c>
      <c r="I270" s="9" t="inlineStr">
        <is>
          <t>H</t>
        </is>
      </c>
      <c r="J270" s="9" t="inlineStr">
        <is>
          <t>Overdraft-protection auto-pull from savings</t>
        </is>
      </c>
    </row>
    <row r="271">
      <c r="A271" s="9" t="inlineStr">
        <is>
          <t>Checking ...0861</t>
        </is>
      </c>
      <c r="B271" s="29" t="n">
        <v>46232</v>
      </c>
      <c r="C271" s="9" t="inlineStr">
        <is>
          <t>WM SUPERCENTER #5751 SALINAS CA              07/29</t>
        </is>
      </c>
      <c r="D271" s="10" t="n">
        <v>-29.43</v>
      </c>
      <c r="E271" s="9" t="inlineStr">
        <is>
          <t>DEBIT_CARD</t>
        </is>
      </c>
      <c r="F271" s="10" t="n">
        <v>0</v>
      </c>
      <c r="G271" s="9" t="inlineStr">
        <is>
          <t>Groceries - Walmart</t>
        </is>
      </c>
      <c r="H271">
        <f>IFERROR(INDEX(Categories!$A$5:$A$93,MATCH(G271,Categories!$B$5:$B$93,0)),"")</f>
        <v/>
      </c>
      <c r="I271" s="9" t="inlineStr">
        <is>
          <t>H</t>
        </is>
      </c>
      <c r="J271" s="9" t="inlineStr"/>
    </row>
    <row r="272">
      <c r="A272" s="9" t="inlineStr">
        <is>
          <t>Checking ...0861</t>
        </is>
      </c>
      <c r="B272" s="29" t="n">
        <v>46232</v>
      </c>
      <c r="C272" s="9" t="inlineStr">
        <is>
          <t>COSTCO WHSE #0472 SALINAS CA         889351  07/29</t>
        </is>
      </c>
      <c r="D272" s="10" t="n">
        <v>-26.21</v>
      </c>
      <c r="E272" s="9" t="inlineStr">
        <is>
          <t>DEBIT_CARD</t>
        </is>
      </c>
      <c r="F272" s="10" t="n">
        <v>29.43</v>
      </c>
      <c r="G272" s="9" t="inlineStr">
        <is>
          <t>Groceries - Costco</t>
        </is>
      </c>
      <c r="H272">
        <f>IFERROR(INDEX(Categories!$A$5:$A$93,MATCH(G272,Categories!$B$5:$B$93,0)),"")</f>
        <v/>
      </c>
      <c r="I272" s="9" t="inlineStr">
        <is>
          <t>H</t>
        </is>
      </c>
      <c r="J272" s="9" t="inlineStr"/>
    </row>
    <row r="273">
      <c r="A273" s="9" t="inlineStr">
        <is>
          <t>Checking ...0861</t>
        </is>
      </c>
      <c r="B273" s="29" t="n">
        <v>46232</v>
      </c>
      <c r="C273" s="9" t="inlineStr">
        <is>
          <t>COMCAST-XFINITY  CABLE SVCS                 PPD ID: 0000213249</t>
        </is>
      </c>
      <c r="D273" s="10" t="n">
        <v>-139.72</v>
      </c>
      <c r="E273" s="9" t="inlineStr">
        <is>
          <t>ACH_DEBIT</t>
        </is>
      </c>
      <c r="F273" s="10" t="n">
        <v>55.64</v>
      </c>
      <c r="G273" s="9" t="inlineStr">
        <is>
          <t>Comcast</t>
        </is>
      </c>
      <c r="H273">
        <f>IFERROR(INDEX(Categories!$A$5:$A$93,MATCH(G273,Categories!$B$5:$B$93,0)),"")</f>
        <v/>
      </c>
      <c r="I273" s="9" t="inlineStr">
        <is>
          <t>H</t>
        </is>
      </c>
      <c r="J273" s="9" t="inlineStr"/>
    </row>
    <row r="274">
      <c r="A274" s="9" t="inlineStr">
        <is>
          <t>Checking ...0861</t>
        </is>
      </c>
      <c r="B274" s="29" t="n">
        <v>46232</v>
      </c>
      <c r="C274" s="9" t="inlineStr">
        <is>
          <t>AMAZON MARKETPLA INTERNET   043000097671174 WEB ID: 9049016352</t>
        </is>
      </c>
      <c r="D274" s="10" t="n">
        <v>-18.48</v>
      </c>
      <c r="E274" s="9" t="inlineStr">
        <is>
          <t>ACH_DEBIT</t>
        </is>
      </c>
      <c r="F274" s="10" t="n">
        <v>195.36</v>
      </c>
      <c r="G274" s="9" t="inlineStr">
        <is>
          <t>Shop - Amazon</t>
        </is>
      </c>
      <c r="H274">
        <f>IFERROR(INDEX(Categories!$A$5:$A$93,MATCH(G274,Categories!$B$5:$B$93,0)),"")</f>
        <v/>
      </c>
      <c r="I274" s="9" t="inlineStr">
        <is>
          <t>H</t>
        </is>
      </c>
      <c r="J274" s="9" t="inlineStr"/>
    </row>
    <row r="275">
      <c r="A275" s="9" t="inlineStr">
        <is>
          <t>Checking ...0861</t>
        </is>
      </c>
      <c r="B275" s="29" t="n">
        <v>46232</v>
      </c>
      <c r="C275" s="9" t="inlineStr">
        <is>
          <t>60774 - SFO PARKING SAN FRANCISCO CA         07/29</t>
        </is>
      </c>
      <c r="D275" s="10" t="n">
        <v>-8</v>
      </c>
      <c r="E275" s="9" t="inlineStr">
        <is>
          <t>DEBIT_CARD</t>
        </is>
      </c>
      <c r="F275" s="10" t="n">
        <v>213.84</v>
      </c>
      <c r="G275" s="9" t="inlineStr">
        <is>
          <t>For Car</t>
        </is>
      </c>
      <c r="H275">
        <f>IFERROR(INDEX(Categories!$A$5:$A$93,MATCH(G275,Categories!$B$5:$B$93,0)),"")</f>
        <v/>
      </c>
      <c r="I275" s="9" t="inlineStr">
        <is>
          <t>D</t>
        </is>
      </c>
      <c r="J275" s="9" t="inlineStr">
        <is>
          <t>Parking charge, defaulted to For Car</t>
        </is>
      </c>
    </row>
    <row r="276">
      <c r="A276" s="9" t="inlineStr">
        <is>
          <t>Checking ...0861</t>
        </is>
      </c>
      <c r="B276" s="29" t="n">
        <v>46232</v>
      </c>
      <c r="C276" s="9" t="inlineStr">
        <is>
          <t>STEVE'S FILIPINO ASIAN SALINAS CA            07/28</t>
        </is>
      </c>
      <c r="D276" s="10" t="n">
        <v>-36.02</v>
      </c>
      <c r="E276" s="9" t="inlineStr">
        <is>
          <t>DEBIT_CARD</t>
        </is>
      </c>
      <c r="F276" s="10" t="n">
        <v>221.84</v>
      </c>
      <c r="G276" s="9" t="inlineStr">
        <is>
          <t>Groceries - Steves</t>
        </is>
      </c>
      <c r="H276">
        <f>IFERROR(INDEX(Categories!$A$5:$A$93,MATCH(G276,Categories!$B$5:$B$93,0)),"")</f>
        <v/>
      </c>
      <c r="I276" s="9" t="inlineStr">
        <is>
          <t>H</t>
        </is>
      </c>
      <c r="J276" s="9" t="inlineStr"/>
    </row>
    <row r="277">
      <c r="A277" s="9" t="inlineStr">
        <is>
          <t>Checking ...0861</t>
        </is>
      </c>
      <c r="B277" s="29" t="n">
        <v>46232</v>
      </c>
      <c r="C277" s="9" t="inlineStr">
        <is>
          <t>CVS/PHARMACY #09186 SALINAS CA               07/28</t>
        </is>
      </c>
      <c r="D277" s="10" t="n">
        <v>-1.6</v>
      </c>
      <c r="E277" s="9" t="inlineStr">
        <is>
          <t>DEBIT_CARD</t>
        </is>
      </c>
      <c r="F277" s="10" t="n">
        <v>257.86</v>
      </c>
      <c r="G277" s="9" t="inlineStr">
        <is>
          <t>CVS</t>
        </is>
      </c>
      <c r="H277">
        <f>IFERROR(INDEX(Categories!$A$5:$A$93,MATCH(G277,Categories!$B$5:$B$93,0)),"")</f>
        <v/>
      </c>
      <c r="I277" s="9" t="inlineStr">
        <is>
          <t>H</t>
        </is>
      </c>
      <c r="J277" s="9" t="inlineStr"/>
    </row>
    <row r="278">
      <c r="A278" s="9" t="inlineStr">
        <is>
          <t>Checking ...0861</t>
        </is>
      </c>
      <c r="B278" s="29" t="n">
        <v>46232</v>
      </c>
      <c r="C278" s="9" t="inlineStr">
        <is>
          <t>ODP TRANSFER FROM SAVINGS ...5953</t>
        </is>
      </c>
      <c r="D278" s="10" t="n">
        <v>259.46</v>
      </c>
      <c r="E278" s="9" t="inlineStr">
        <is>
          <t>MISC_CREDIT</t>
        </is>
      </c>
      <c r="F278" s="10" t="n">
        <v>259.46</v>
      </c>
      <c r="G278" s="9" t="inlineStr">
        <is>
          <t>Transfer - Savings to Checking</t>
        </is>
      </c>
      <c r="H278">
        <f>IFERROR(INDEX(Categories!$A$5:$A$93,MATCH(G278,Categories!$B$5:$B$93,0)),"")</f>
        <v/>
      </c>
      <c r="I278" s="9" t="inlineStr">
        <is>
          <t>H</t>
        </is>
      </c>
      <c r="J278" s="9" t="inlineStr">
        <is>
          <t>Overdraft-protection auto-pull from savings</t>
        </is>
      </c>
    </row>
    <row r="279">
      <c r="A279" s="9" t="inlineStr">
        <is>
          <t>Checking ...0861</t>
        </is>
      </c>
      <c r="B279" s="29" t="n">
        <v>46231</v>
      </c>
      <c r="C279" s="9" t="inlineStr">
        <is>
          <t>PAYPAL           PURCHASE   TIKTOK SHOP     WEB ID: PAYPALSI77</t>
        </is>
      </c>
      <c r="D279" s="10" t="n">
        <v>-16.66</v>
      </c>
      <c r="E279" s="9" t="inlineStr">
        <is>
          <t>ACH_DEBIT</t>
        </is>
      </c>
      <c r="F279" s="10" t="n">
        <v>0</v>
      </c>
      <c r="G279" s="9" t="inlineStr">
        <is>
          <t>paypal tiktok</t>
        </is>
      </c>
      <c r="H279">
        <f>IFERROR(INDEX(Categories!$A$5:$A$93,MATCH(G279,Categories!$B$5:$B$93,0)),"")</f>
        <v/>
      </c>
      <c r="I279" s="9" t="inlineStr">
        <is>
          <t>H</t>
        </is>
      </c>
      <c r="J279" s="9" t="inlineStr"/>
    </row>
    <row r="280">
      <c r="A280" s="9" t="inlineStr">
        <is>
          <t>Checking ...0861</t>
        </is>
      </c>
      <c r="B280" s="29" t="n">
        <v>46231</v>
      </c>
      <c r="C280" s="9" t="inlineStr">
        <is>
          <t>PAYPAL           PURCHASE   TIKTOK SHOP     WEB ID: PAYPALSI77</t>
        </is>
      </c>
      <c r="D280" s="10" t="n">
        <v>-28.81</v>
      </c>
      <c r="E280" s="9" t="inlineStr">
        <is>
          <t>ACH_DEBIT</t>
        </is>
      </c>
      <c r="F280" s="10" t="n">
        <v>16.66</v>
      </c>
      <c r="G280" s="9" t="inlineStr">
        <is>
          <t>paypal tiktok</t>
        </is>
      </c>
      <c r="H280">
        <f>IFERROR(INDEX(Categories!$A$5:$A$93,MATCH(G280,Categories!$B$5:$B$93,0)),"")</f>
        <v/>
      </c>
      <c r="I280" s="9" t="inlineStr">
        <is>
          <t>H</t>
        </is>
      </c>
      <c r="J280" s="9" t="inlineStr"/>
    </row>
    <row r="281">
      <c r="A281" s="9" t="inlineStr">
        <is>
          <t>Checking ...0861</t>
        </is>
      </c>
      <c r="B281" s="29" t="n">
        <v>46231</v>
      </c>
      <c r="C281" s="9" t="inlineStr">
        <is>
          <t>PAYPAL           PURCHASE   TIKTOK SHOP     WEB ID: PAYPALSI77</t>
        </is>
      </c>
      <c r="D281" s="10" t="n">
        <v>-37.51</v>
      </c>
      <c r="E281" s="9" t="inlineStr">
        <is>
          <t>ACH_DEBIT</t>
        </is>
      </c>
      <c r="F281" s="10" t="n">
        <v>45.47</v>
      </c>
      <c r="G281" s="9" t="inlineStr">
        <is>
          <t>paypal tiktok</t>
        </is>
      </c>
      <c r="H281">
        <f>IFERROR(INDEX(Categories!$A$5:$A$93,MATCH(G281,Categories!$B$5:$B$93,0)),"")</f>
        <v/>
      </c>
      <c r="I281" s="9" t="inlineStr">
        <is>
          <t>H</t>
        </is>
      </c>
      <c r="J281" s="9" t="inlineStr"/>
    </row>
    <row r="282">
      <c r="A282" s="9" t="inlineStr">
        <is>
          <t>Checking ...0861</t>
        </is>
      </c>
      <c r="B282" s="29" t="n">
        <v>46231</v>
      </c>
      <c r="C282" s="9" t="inlineStr">
        <is>
          <t>SALINAS SINCLAI SALINAS CA                   07/28</t>
        </is>
      </c>
      <c r="D282" s="10" t="n">
        <v>-63.03</v>
      </c>
      <c r="E282" s="9" t="inlineStr">
        <is>
          <t>DEBIT_CARD</t>
        </is>
      </c>
      <c r="F282" s="10" t="n">
        <v>82.98</v>
      </c>
      <c r="G282" s="9" t="inlineStr">
        <is>
          <t>Gas</t>
        </is>
      </c>
      <c r="H282">
        <f>IFERROR(INDEX(Categories!$A$5:$A$93,MATCH(G282,Categories!$B$5:$B$93,0)),"")</f>
        <v/>
      </c>
      <c r="I282" s="9" t="inlineStr">
        <is>
          <t>D</t>
        </is>
      </c>
      <c r="J282" s="9" t="inlineStr"/>
    </row>
    <row r="283">
      <c r="A283" s="9" t="inlineStr">
        <is>
          <t>Checking ...0861</t>
        </is>
      </c>
      <c r="B283" s="29" t="n">
        <v>46231</v>
      </c>
      <c r="C283" s="9" t="inlineStr">
        <is>
          <t>AFFIRM.COM PAYME AFFIRM.COM ST-M0I8L5P0F4K8 WEB ID: 1800948598</t>
        </is>
      </c>
      <c r="D283" s="10" t="n">
        <v>-38.21</v>
      </c>
      <c r="E283" s="9" t="inlineStr">
        <is>
          <t>ACH_DEBIT</t>
        </is>
      </c>
      <c r="F283" s="10" t="n">
        <v>146.01</v>
      </c>
      <c r="G283" s="9" t="inlineStr">
        <is>
          <t>Affirm</t>
        </is>
      </c>
      <c r="H283">
        <f>IFERROR(INDEX(Categories!$A$5:$A$93,MATCH(G283,Categories!$B$5:$B$93,0)),"")</f>
        <v/>
      </c>
      <c r="I283" s="9" t="inlineStr">
        <is>
          <t>H</t>
        </is>
      </c>
      <c r="J283" s="9" t="inlineStr"/>
    </row>
    <row r="284">
      <c r="A284" s="9" t="inlineStr">
        <is>
          <t>Checking ...0861</t>
        </is>
      </c>
      <c r="B284" s="29" t="n">
        <v>46231</v>
      </c>
      <c r="C284" s="9" t="inlineStr">
        <is>
          <t>MISSION LANE     EDI PYMNTS                 PPD ID: 2832674981</t>
        </is>
      </c>
      <c r="D284" s="10" t="n">
        <v>-99.72</v>
      </c>
      <c r="E284" s="9" t="inlineStr">
        <is>
          <t>ACH_DEBIT</t>
        </is>
      </c>
      <c r="F284" s="10" t="n">
        <v>184.22</v>
      </c>
      <c r="G284" s="9" t="inlineStr">
        <is>
          <t>CC - Mission Lane</t>
        </is>
      </c>
      <c r="H284">
        <f>IFERROR(INDEX(Categories!$A$5:$A$93,MATCH(G284,Categories!$B$5:$B$93,0)),"")</f>
        <v/>
      </c>
      <c r="I284" s="9" t="inlineStr">
        <is>
          <t>H</t>
        </is>
      </c>
      <c r="J284" s="9" t="inlineStr"/>
    </row>
    <row r="285">
      <c r="A285" s="9" t="inlineStr">
        <is>
          <t>Checking ...0861</t>
        </is>
      </c>
      <c r="B285" s="29" t="n">
        <v>46231</v>
      </c>
      <c r="C285" s="9" t="inlineStr">
        <is>
          <t>ODP TRANSFER FROM SAVINGS ...5953</t>
        </is>
      </c>
      <c r="D285" s="10" t="n">
        <v>283.94</v>
      </c>
      <c r="E285" s="9" t="inlineStr">
        <is>
          <t>MISC_CREDIT</t>
        </is>
      </c>
      <c r="F285" s="10" t="n">
        <v>283.94</v>
      </c>
      <c r="G285" s="9" t="inlineStr">
        <is>
          <t>Transfer - Savings to Checking</t>
        </is>
      </c>
      <c r="H285">
        <f>IFERROR(INDEX(Categories!$A$5:$A$93,MATCH(G285,Categories!$B$5:$B$93,0)),"")</f>
        <v/>
      </c>
      <c r="I285" s="9" t="inlineStr">
        <is>
          <t>H</t>
        </is>
      </c>
      <c r="J285" s="9" t="inlineStr">
        <is>
          <t>Overdraft-protection auto-pull from savings</t>
        </is>
      </c>
    </row>
    <row r="286">
      <c r="A286" s="9" t="inlineStr">
        <is>
          <t>Checking ...0861</t>
        </is>
      </c>
      <c r="B286" s="29" t="n">
        <v>46230</v>
      </c>
      <c r="C286" s="9" t="inlineStr">
        <is>
          <t>CAPITAL ONE      MOBILE PMT CA0F48E46A55E2F WEB ID: 9279744380</t>
        </is>
      </c>
      <c r="D286" s="10" t="n">
        <v>-1477.9</v>
      </c>
      <c r="E286" s="9" t="inlineStr">
        <is>
          <t>ACH_DEBIT</t>
        </is>
      </c>
      <c r="F286" s="10" t="n">
        <v>0</v>
      </c>
      <c r="G286" s="9" t="inlineStr">
        <is>
          <t>CC - Capital 1</t>
        </is>
      </c>
      <c r="H286">
        <f>IFERROR(INDEX(Categories!$A$5:$A$93,MATCH(G286,Categories!$B$5:$B$93,0)),"")</f>
        <v/>
      </c>
      <c r="I286" s="9" t="inlineStr">
        <is>
          <t>H</t>
        </is>
      </c>
      <c r="J286" s="9" t="inlineStr"/>
    </row>
    <row r="287">
      <c r="A287" s="9" t="inlineStr">
        <is>
          <t>Checking ...0861</t>
        </is>
      </c>
      <c r="B287" s="29" t="n">
        <v>46230</v>
      </c>
      <c r="C287" s="9" t="inlineStr">
        <is>
          <t>PAYPAL           PURCHASE   GOOGLE BYTEDANC WEB ID: PAYPALSI77</t>
        </is>
      </c>
      <c r="D287" s="10" t="n">
        <v>-9.19</v>
      </c>
      <c r="E287" s="9" t="inlineStr">
        <is>
          <t>ACH_DEBIT</t>
        </is>
      </c>
      <c r="F287" s="10" t="n">
        <v>1477.9</v>
      </c>
      <c r="G287" s="9" t="inlineStr">
        <is>
          <t>Others</t>
        </is>
      </c>
      <c r="H287">
        <f>IFERROR(INDEX(Categories!$A$5:$A$93,MATCH(G287,Categories!$B$5:$B$93,0)),"")</f>
        <v/>
      </c>
      <c r="I287" s="9" t="inlineStr">
        <is>
          <t>R</t>
        </is>
      </c>
      <c r="J287" s="9" t="inlineStr">
        <is>
          <t>Subscription/purchase via PayPal (Apple, Etsy, Google apps, Lyft, AARP, etc.) - no matching category</t>
        </is>
      </c>
    </row>
    <row r="288">
      <c r="A288" s="9" t="inlineStr">
        <is>
          <t>Checking ...0861</t>
        </is>
      </c>
      <c r="B288" s="29" t="n">
        <v>46230</v>
      </c>
      <c r="C288" s="9" t="inlineStr">
        <is>
          <t>PAYPAL           PURCHASE   GOOGLE YESOULFI WEB ID: PAYPALSI77</t>
        </is>
      </c>
      <c r="D288" s="10" t="n">
        <v>-13.99</v>
      </c>
      <c r="E288" s="9" t="inlineStr">
        <is>
          <t>ACH_DEBIT</t>
        </is>
      </c>
      <c r="F288" s="10" t="n">
        <v>1487.09</v>
      </c>
      <c r="G288" s="9" t="inlineStr">
        <is>
          <t>Yesoulfitness</t>
        </is>
      </c>
      <c r="H288">
        <f>IFERROR(INDEX(Categories!$A$5:$A$93,MATCH(G288,Categories!$B$5:$B$93,0)),"")</f>
        <v/>
      </c>
      <c r="I288" s="9" t="inlineStr">
        <is>
          <t>H</t>
        </is>
      </c>
      <c r="J288" s="9" t="inlineStr"/>
    </row>
    <row r="289">
      <c r="A289" s="9" t="inlineStr">
        <is>
          <t>Checking ...0861</t>
        </is>
      </c>
      <c r="B289" s="29" t="n">
        <v>46230</v>
      </c>
      <c r="C289" s="9" t="inlineStr">
        <is>
          <t>PAYPAL           PURCHASE   GOOGLE YOUTUBE  WEB ID: PAYPALSI77</t>
        </is>
      </c>
      <c r="D289" s="10" t="n">
        <v>-15.99</v>
      </c>
      <c r="E289" s="9" t="inlineStr">
        <is>
          <t>ACH_DEBIT</t>
        </is>
      </c>
      <c r="F289" s="10" t="n">
        <v>1501.08</v>
      </c>
      <c r="G289" s="9" t="inlineStr">
        <is>
          <t>YT Premium</t>
        </is>
      </c>
      <c r="H289">
        <f>IFERROR(INDEX(Categories!$A$5:$A$93,MATCH(G289,Categories!$B$5:$B$93,0)),"")</f>
        <v/>
      </c>
      <c r="I289" s="9" t="inlineStr">
        <is>
          <t>H</t>
        </is>
      </c>
      <c r="J289" s="9" t="inlineStr"/>
    </row>
    <row r="290">
      <c r="A290" s="9" t="inlineStr">
        <is>
          <t>Checking ...0861</t>
        </is>
      </c>
      <c r="B290" s="29" t="n">
        <v>46230</v>
      </c>
      <c r="C290" s="9" t="inlineStr">
        <is>
          <t>VERIZON WIRELESS PAYMENTS                   PPD ID: 4223344794</t>
        </is>
      </c>
      <c r="D290" s="10" t="n">
        <v>-390.62</v>
      </c>
      <c r="E290" s="9" t="inlineStr">
        <is>
          <t>MISC_DEBIT</t>
        </is>
      </c>
      <c r="F290" s="10" t="n">
        <v>1517.07</v>
      </c>
      <c r="G290" s="9" t="inlineStr">
        <is>
          <t>Verizon</t>
        </is>
      </c>
      <c r="H290">
        <f>IFERROR(INDEX(Categories!$A$5:$A$93,MATCH(G290,Categories!$B$5:$B$93,0)),"")</f>
        <v/>
      </c>
      <c r="I290" s="9" t="inlineStr">
        <is>
          <t>H</t>
        </is>
      </c>
      <c r="J290" s="9" t="inlineStr"/>
    </row>
    <row r="291">
      <c r="A291" s="9" t="inlineStr">
        <is>
          <t>Checking ...0861</t>
        </is>
      </c>
      <c r="B291" s="29" t="n">
        <v>46230</v>
      </c>
      <c r="C291" s="9" t="inlineStr">
        <is>
          <t>Taptap Send New York NY                      07/26</t>
        </is>
      </c>
      <c r="D291" s="10" t="n">
        <v>-196.07</v>
      </c>
      <c r="E291" s="9" t="inlineStr">
        <is>
          <t>DEBIT_CARD</t>
        </is>
      </c>
      <c r="F291" s="10" t="n">
        <v>1907.69</v>
      </c>
      <c r="G291" s="9" t="inlineStr">
        <is>
          <t>Remittance - others</t>
        </is>
      </c>
      <c r="H291">
        <f>IFERROR(INDEX(Categories!$A$5:$A$93,MATCH(G291,Categories!$B$5:$B$93,0)),"")</f>
        <v/>
      </c>
      <c r="I291" s="9" t="inlineStr">
        <is>
          <t>R</t>
        </is>
      </c>
      <c r="J291" s="9" t="inlineStr">
        <is>
          <t>Remittance app transfer - recipient not shown; please tell me if this is Aron, Aron's tuition, or someone else</t>
        </is>
      </c>
    </row>
    <row r="292">
      <c r="A292" s="9" t="inlineStr">
        <is>
          <t>Checking ...0861</t>
        </is>
      </c>
      <c r="B292" s="29" t="n">
        <v>46230</v>
      </c>
      <c r="C292" s="9" t="inlineStr">
        <is>
          <t>GIV*FIRST PRESBY 831-4227811 CA              07/26</t>
        </is>
      </c>
      <c r="D292" s="10" t="n">
        <v>-20</v>
      </c>
      <c r="E292" s="9" t="inlineStr">
        <is>
          <t>DEBIT_CARD</t>
        </is>
      </c>
      <c r="F292" s="10" t="n">
        <v>2103.76</v>
      </c>
      <c r="G292" s="9" t="inlineStr">
        <is>
          <t>Others</t>
        </is>
      </c>
      <c r="H292">
        <f>IFERROR(INDEX(Categories!$A$5:$A$93,MATCH(G292,Categories!$B$5:$B$93,0)),"")</f>
        <v/>
      </c>
      <c r="I292" s="9" t="inlineStr">
        <is>
          <t>H</t>
        </is>
      </c>
      <c r="J292" s="9" t="inlineStr">
        <is>
          <t>Recurring $20 church/charitable giving - no matching category in your list, put under Others</t>
        </is>
      </c>
    </row>
    <row r="293">
      <c r="A293" s="9" t="inlineStr">
        <is>
          <t>Checking ...0861</t>
        </is>
      </c>
      <c r="B293" s="29" t="n">
        <v>46230</v>
      </c>
      <c r="C293" s="9" t="inlineStr">
        <is>
          <t>CHEVRON 0305025 VALENCIA CA                  07/26</t>
        </is>
      </c>
      <c r="D293" s="10" t="n">
        <v>-62.2</v>
      </c>
      <c r="E293" s="9" t="inlineStr">
        <is>
          <t>DEBIT_CARD</t>
        </is>
      </c>
      <c r="F293" s="10" t="n">
        <v>2123.76</v>
      </c>
      <c r="G293" s="9" t="inlineStr">
        <is>
          <t>Gas</t>
        </is>
      </c>
      <c r="H293">
        <f>IFERROR(INDEX(Categories!$A$5:$A$93,MATCH(G293,Categories!$B$5:$B$93,0)),"")</f>
        <v/>
      </c>
      <c r="I293" s="9" t="inlineStr">
        <is>
          <t>D</t>
        </is>
      </c>
      <c r="J293" s="9" t="inlineStr"/>
    </row>
    <row r="294">
      <c r="A294" s="9" t="inlineStr">
        <is>
          <t>Checking ...0861</t>
        </is>
      </c>
      <c r="B294" s="29" t="n">
        <v>46230</v>
      </c>
      <c r="C294" s="9" t="inlineStr">
        <is>
          <t>TST* JINCOOK - GLENDALE GLENDALE CA          07/26</t>
        </is>
      </c>
      <c r="D294" s="10" t="n">
        <v>-196.02</v>
      </c>
      <c r="E294" s="9" t="inlineStr">
        <is>
          <t>DEBIT_CARD</t>
        </is>
      </c>
      <c r="F294" s="10" t="n">
        <v>2185.96</v>
      </c>
      <c r="G294" s="9" t="inlineStr">
        <is>
          <t>Food - Eat Out</t>
        </is>
      </c>
      <c r="H294">
        <f>IFERROR(INDEX(Categories!$A$5:$A$93,MATCH(G294,Categories!$B$5:$B$93,0)),"")</f>
        <v/>
      </c>
      <c r="I294" s="9" t="inlineStr">
        <is>
          <t>D</t>
        </is>
      </c>
      <c r="J294" s="9" t="inlineStr"/>
    </row>
    <row r="295">
      <c r="A295" s="9" t="inlineStr">
        <is>
          <t>Checking ...0861</t>
        </is>
      </c>
      <c r="B295" s="29" t="n">
        <v>46230</v>
      </c>
      <c r="C295" s="9" t="inlineStr">
        <is>
          <t>PAYBYPHONE US-CITY OF 877-6102054 CA         07/25</t>
        </is>
      </c>
      <c r="D295" s="10" t="n">
        <v>-8.699999999999999</v>
      </c>
      <c r="E295" s="9" t="inlineStr">
        <is>
          <t>DEBIT_CARD</t>
        </is>
      </c>
      <c r="F295" s="10" t="n">
        <v>2381.98</v>
      </c>
      <c r="G295" s="9" t="inlineStr">
        <is>
          <t>For Car</t>
        </is>
      </c>
      <c r="H295">
        <f>IFERROR(INDEX(Categories!$A$5:$A$93,MATCH(G295,Categories!$B$5:$B$93,0)),"")</f>
        <v/>
      </c>
      <c r="I295" s="9" t="inlineStr">
        <is>
          <t>D</t>
        </is>
      </c>
      <c r="J295" s="9" t="inlineStr">
        <is>
          <t>Parking charge, defaulted to For Car</t>
        </is>
      </c>
    </row>
    <row r="296">
      <c r="A296" s="9" t="inlineStr">
        <is>
          <t>Checking ...0861</t>
        </is>
      </c>
      <c r="B296" s="29" t="n">
        <v>46230</v>
      </c>
      <c r="C296" s="9" t="inlineStr">
        <is>
          <t>IHOP 0771 STEVENSON RAN CA                   07/25</t>
        </is>
      </c>
      <c r="D296" s="10" t="n">
        <v>-84.25</v>
      </c>
      <c r="E296" s="9" t="inlineStr">
        <is>
          <t>DEBIT_CARD</t>
        </is>
      </c>
      <c r="F296" s="10" t="n">
        <v>2390.68</v>
      </c>
      <c r="G296" s="9" t="inlineStr">
        <is>
          <t>Food - Eat Out</t>
        </is>
      </c>
      <c r="H296">
        <f>IFERROR(INDEX(Categories!$A$5:$A$93,MATCH(G296,Categories!$B$5:$B$93,0)),"")</f>
        <v/>
      </c>
      <c r="I296" s="9" t="inlineStr">
        <is>
          <t>D</t>
        </is>
      </c>
      <c r="J296" s="9" t="inlineStr">
        <is>
          <t>Restaurant/fast-food - defaulted to Eat Out; move to Food - Ailynn/Chris/Misc if you know whose order it was</t>
        </is>
      </c>
    </row>
    <row r="297">
      <c r="A297" s="9" t="inlineStr">
        <is>
          <t>Checking ...0861</t>
        </is>
      </c>
      <c r="B297" s="29" t="n">
        <v>46230</v>
      </c>
      <c r="C297" s="9" t="inlineStr">
        <is>
          <t>WM SUPERCENTER #5751 SALINAS CA              07/25</t>
        </is>
      </c>
      <c r="D297" s="10" t="n">
        <v>-15.86</v>
      </c>
      <c r="E297" s="9" t="inlineStr">
        <is>
          <t>DEBIT_CARD</t>
        </is>
      </c>
      <c r="F297" s="10" t="n">
        <v>2474.93</v>
      </c>
      <c r="G297" s="9" t="inlineStr">
        <is>
          <t>Groceries - Walmart</t>
        </is>
      </c>
      <c r="H297">
        <f>IFERROR(INDEX(Categories!$A$5:$A$93,MATCH(G297,Categories!$B$5:$B$93,0)),"")</f>
        <v/>
      </c>
      <c r="I297" s="9" t="inlineStr">
        <is>
          <t>H</t>
        </is>
      </c>
      <c r="J297" s="9" t="inlineStr"/>
    </row>
    <row r="298">
      <c r="A298" s="9" t="inlineStr">
        <is>
          <t>Checking ...0861</t>
        </is>
      </c>
      <c r="B298" s="29" t="n">
        <v>46230</v>
      </c>
      <c r="C298" s="9" t="inlineStr">
        <is>
          <t>WAL-MART #5751 SALINAS CA                    07/25</t>
        </is>
      </c>
      <c r="D298" s="10" t="n">
        <v>-27.71</v>
      </c>
      <c r="E298" s="9" t="inlineStr">
        <is>
          <t>DEBIT_CARD</t>
        </is>
      </c>
      <c r="F298" s="10" t="n">
        <v>2490.79</v>
      </c>
      <c r="G298" s="9" t="inlineStr">
        <is>
          <t>Groceries - Walmart</t>
        </is>
      </c>
      <c r="H298">
        <f>IFERROR(INDEX(Categories!$A$5:$A$93,MATCH(G298,Categories!$B$5:$B$93,0)),"")</f>
        <v/>
      </c>
      <c r="I298" s="9" t="inlineStr">
        <is>
          <t>H</t>
        </is>
      </c>
      <c r="J298" s="9" t="inlineStr"/>
    </row>
    <row r="299">
      <c r="A299" s="9" t="inlineStr">
        <is>
          <t>Checking ...0861</t>
        </is>
      </c>
      <c r="B299" s="29" t="n">
        <v>46230</v>
      </c>
      <c r="C299" s="9" t="inlineStr">
        <is>
          <t>SHELL SERVICE STATION SOLEDAD CA     873612  07/25</t>
        </is>
      </c>
      <c r="D299" s="10" t="n">
        <v>-72.98999999999999</v>
      </c>
      <c r="E299" s="9" t="inlineStr">
        <is>
          <t>DEBIT_CARD</t>
        </is>
      </c>
      <c r="F299" s="10" t="n">
        <v>2518.5</v>
      </c>
      <c r="G299" s="9" t="inlineStr">
        <is>
          <t>Gas</t>
        </is>
      </c>
      <c r="H299">
        <f>IFERROR(INDEX(Categories!$A$5:$A$93,MATCH(G299,Categories!$B$5:$B$93,0)),"")</f>
        <v/>
      </c>
      <c r="I299" s="9" t="inlineStr">
        <is>
          <t>D</t>
        </is>
      </c>
      <c r="J299" s="9" t="inlineStr"/>
    </row>
    <row r="300">
      <c r="A300" s="9" t="inlineStr">
        <is>
          <t>Checking ...0861</t>
        </is>
      </c>
      <c r="B300" s="29" t="n">
        <v>46230</v>
      </c>
      <c r="C300" s="9" t="inlineStr">
        <is>
          <t>SHELL SERVICE STATION SOLEDAD CA     047232  07/25</t>
        </is>
      </c>
      <c r="D300" s="10" t="n">
        <v>-14.51</v>
      </c>
      <c r="E300" s="9" t="inlineStr">
        <is>
          <t>DEBIT_CARD</t>
        </is>
      </c>
      <c r="F300" s="10" t="n">
        <v>2591.49</v>
      </c>
      <c r="G300" s="9" t="inlineStr">
        <is>
          <t>Gas</t>
        </is>
      </c>
      <c r="H300">
        <f>IFERROR(INDEX(Categories!$A$5:$A$93,MATCH(G300,Categories!$B$5:$B$93,0)),"")</f>
        <v/>
      </c>
      <c r="I300" s="9" t="inlineStr">
        <is>
          <t>D</t>
        </is>
      </c>
      <c r="J300" s="9" t="inlineStr"/>
    </row>
    <row r="301">
      <c r="A301" s="9" t="inlineStr">
        <is>
          <t>Checking ...0861</t>
        </is>
      </c>
      <c r="B301" s="29" t="n">
        <v>46230</v>
      </c>
      <c r="C301" s="9" t="inlineStr">
        <is>
          <t>ROSS STORES #523 SALINAS CA                  07/24</t>
        </is>
      </c>
      <c r="D301" s="10" t="n">
        <v>-59.86</v>
      </c>
      <c r="E301" s="9" t="inlineStr">
        <is>
          <t>DEBIT_CARD</t>
        </is>
      </c>
      <c r="F301" s="10" t="n">
        <v>2606</v>
      </c>
      <c r="G301" s="9" t="inlineStr">
        <is>
          <t>Shop - Ross</t>
        </is>
      </c>
      <c r="H301">
        <f>IFERROR(INDEX(Categories!$A$5:$A$93,MATCH(G301,Categories!$B$5:$B$93,0)),"")</f>
        <v/>
      </c>
      <c r="I301" s="9" t="inlineStr">
        <is>
          <t>H</t>
        </is>
      </c>
      <c r="J301" s="9" t="inlineStr"/>
    </row>
    <row r="302">
      <c r="A302" s="9" t="inlineStr">
        <is>
          <t>Checking ...0861</t>
        </is>
      </c>
      <c r="B302" s="29" t="n">
        <v>46230</v>
      </c>
      <c r="C302" s="9" t="inlineStr">
        <is>
          <t>SQ *PANADERIA TRES HERM Salinas CA           07/24</t>
        </is>
      </c>
      <c r="D302" s="10" t="n">
        <v>-12.5</v>
      </c>
      <c r="E302" s="9" t="inlineStr">
        <is>
          <t>DEBIT_CARD</t>
        </is>
      </c>
      <c r="F302" s="10" t="n">
        <v>2665.86</v>
      </c>
      <c r="G302" s="9" t="inlineStr">
        <is>
          <t>Food - Eat Out</t>
        </is>
      </c>
      <c r="H302">
        <f>IFERROR(INDEX(Categories!$A$5:$A$93,MATCH(G302,Categories!$B$5:$B$93,0)),"")</f>
        <v/>
      </c>
      <c r="I302" s="9" t="inlineStr">
        <is>
          <t>D</t>
        </is>
      </c>
      <c r="J302" s="9" t="inlineStr"/>
    </row>
    <row r="303">
      <c r="A303" s="9" t="inlineStr">
        <is>
          <t>Checking ...0861</t>
        </is>
      </c>
      <c r="B303" s="29" t="n">
        <v>46230</v>
      </c>
      <c r="C303" s="9" t="inlineStr">
        <is>
          <t>TST*MISSION STREET BBQ Santa Cruz CA         07/24</t>
        </is>
      </c>
      <c r="D303" s="10" t="n">
        <v>-31.91</v>
      </c>
      <c r="E303" s="9" t="inlineStr">
        <is>
          <t>DEBIT_CARD</t>
        </is>
      </c>
      <c r="F303" s="10" t="n">
        <v>2678.36</v>
      </c>
      <c r="G303" s="9" t="inlineStr">
        <is>
          <t>Food - Eat Out</t>
        </is>
      </c>
      <c r="H303">
        <f>IFERROR(INDEX(Categories!$A$5:$A$93,MATCH(G303,Categories!$B$5:$B$93,0)),"")</f>
        <v/>
      </c>
      <c r="I303" s="9" t="inlineStr">
        <is>
          <t>D</t>
        </is>
      </c>
      <c r="J303" s="9" t="inlineStr">
        <is>
          <t>Restaurant/fast-food - defaulted to Eat Out; move to Food - Ailynn/Chris/Misc if you know whose order it was</t>
        </is>
      </c>
    </row>
    <row r="304">
      <c r="A304" s="9" t="inlineStr">
        <is>
          <t>Checking ...0861</t>
        </is>
      </c>
      <c r="B304" s="29" t="n">
        <v>46230</v>
      </c>
      <c r="C304" s="9" t="inlineStr">
        <is>
          <t>Zelle payment from Katrina T Perez USBNb4JsqBDz</t>
        </is>
      </c>
      <c r="D304" s="10" t="n">
        <v>50</v>
      </c>
      <c r="E304" s="9" t="inlineStr">
        <is>
          <t>PARTNERFI_TO_CHASE</t>
        </is>
      </c>
      <c r="F304" s="10" t="n">
        <v>2710.27</v>
      </c>
      <c r="G304" s="9" t="inlineStr">
        <is>
          <t>Others - Income</t>
        </is>
      </c>
      <c r="H304">
        <f>IFERROR(INDEX(Categories!$A$5:$A$93,MATCH(G304,Categories!$B$5:$B$93,0)),"")</f>
        <v/>
      </c>
      <c r="I304" s="9" t="inlineStr">
        <is>
          <t>R</t>
        </is>
      </c>
      <c r="J304" s="9" t="inlineStr">
        <is>
          <t>Zelle received - please tell me who this person is so I can map them to a category</t>
        </is>
      </c>
    </row>
    <row r="305">
      <c r="A305" s="9" t="inlineStr">
        <is>
          <t>Checking ...0861</t>
        </is>
      </c>
      <c r="B305" s="29" t="n">
        <v>46230</v>
      </c>
      <c r="C305" s="9" t="inlineStr">
        <is>
          <t>ODP TRANSFER FROM SAVINGS ...5953</t>
        </is>
      </c>
      <c r="D305" s="10" t="n">
        <v>2216.33</v>
      </c>
      <c r="E305" s="9" t="inlineStr">
        <is>
          <t>MISC_CREDIT</t>
        </is>
      </c>
      <c r="F305" s="10" t="n">
        <v>2660.27</v>
      </c>
      <c r="G305" s="9" t="inlineStr">
        <is>
          <t>Transfer - Savings to Checking</t>
        </is>
      </c>
      <c r="H305">
        <f>IFERROR(INDEX(Categories!$A$5:$A$93,MATCH(G305,Categories!$B$5:$B$93,0)),"")</f>
        <v/>
      </c>
      <c r="I305" s="9" t="inlineStr">
        <is>
          <t>H</t>
        </is>
      </c>
      <c r="J305" s="9" t="inlineStr">
        <is>
          <t>Overdraft-protection auto-pull from savings</t>
        </is>
      </c>
    </row>
    <row r="306">
      <c r="A306" s="9" t="inlineStr">
        <is>
          <t>Checking ...0861</t>
        </is>
      </c>
      <c r="B306" s="29" t="n">
        <v>46227</v>
      </c>
      <c r="C306" s="9" t="inlineStr">
        <is>
          <t>CVS/PHARMACY #09186 SALINAS CA               07/24</t>
        </is>
      </c>
      <c r="D306" s="10" t="n">
        <v>-37.89</v>
      </c>
      <c r="E306" s="9" t="inlineStr">
        <is>
          <t>DEBIT_CARD</t>
        </is>
      </c>
      <c r="F306" s="10" t="n">
        <v>443.94</v>
      </c>
      <c r="G306" s="9" t="inlineStr">
        <is>
          <t>CVS</t>
        </is>
      </c>
      <c r="H306">
        <f>IFERROR(INDEX(Categories!$A$5:$A$93,MATCH(G306,Categories!$B$5:$B$93,0)),"")</f>
        <v/>
      </c>
      <c r="I306" s="9" t="inlineStr">
        <is>
          <t>H</t>
        </is>
      </c>
      <c r="J306" s="9" t="inlineStr"/>
    </row>
    <row r="307">
      <c r="A307" s="9" t="inlineStr">
        <is>
          <t>Checking ...0861</t>
        </is>
      </c>
      <c r="B307" s="29" t="n">
        <v>46227</v>
      </c>
      <c r="C307" s="9" t="inlineStr">
        <is>
          <t>PAYPAL           TRANSFER   ADD TO BALANCE  WEB ID: PAYPALSD22</t>
        </is>
      </c>
      <c r="D307" s="10" t="n">
        <v>-50</v>
      </c>
      <c r="E307" s="9" t="inlineStr">
        <is>
          <t>ACH_DEBIT</t>
        </is>
      </c>
      <c r="F307" s="10" t="n">
        <v>481.83</v>
      </c>
      <c r="G307" s="9" t="inlineStr">
        <is>
          <t>Transfer - Checking to PayPal</t>
        </is>
      </c>
      <c r="H307">
        <f>IFERROR(INDEX(Categories!$A$5:$A$93,MATCH(G307,Categories!$B$5:$B$93,0)),"")</f>
        <v/>
      </c>
      <c r="I307" s="9" t="inlineStr">
        <is>
          <t>H</t>
        </is>
      </c>
      <c r="J307" s="9" t="inlineStr"/>
    </row>
    <row r="308">
      <c r="A308" s="9" t="inlineStr">
        <is>
          <t>Checking ...0861</t>
        </is>
      </c>
      <c r="B308" s="29" t="n">
        <v>46227</v>
      </c>
      <c r="C308" s="9" t="inlineStr">
        <is>
          <t>Zelle payment to RHIAN ALMO 30135285573</t>
        </is>
      </c>
      <c r="D308" s="10" t="n">
        <v>-23</v>
      </c>
      <c r="E308" s="9" t="inlineStr">
        <is>
          <t>QUICKPAY_DEBIT</t>
        </is>
      </c>
      <c r="F308" s="10" t="n">
        <v>531.83</v>
      </c>
      <c r="G308" s="9" t="inlineStr">
        <is>
          <t>Others</t>
        </is>
      </c>
      <c r="H308">
        <f>IFERROR(INDEX(Categories!$A$5:$A$93,MATCH(G308,Categories!$B$5:$B$93,0)),"")</f>
        <v/>
      </c>
      <c r="I308" s="9" t="inlineStr">
        <is>
          <t>R</t>
        </is>
      </c>
      <c r="J308" s="9" t="inlineStr">
        <is>
          <t>Zelle sent - please tell me who this person is so I can map them to a category</t>
        </is>
      </c>
    </row>
    <row r="309">
      <c r="A309" s="9" t="inlineStr">
        <is>
          <t>Checking ...0861</t>
        </is>
      </c>
      <c r="B309" s="29" t="n">
        <v>46227</v>
      </c>
      <c r="C309" s="9" t="inlineStr">
        <is>
          <t>Online Transfer to  SAV ...5953 transaction#: 30041024561</t>
        </is>
      </c>
      <c r="D309" s="10" t="n">
        <v>-25</v>
      </c>
      <c r="E309" s="9" t="inlineStr">
        <is>
          <t>ACCT_XFER</t>
        </is>
      </c>
      <c r="F309" s="10" t="n">
        <v>554.83</v>
      </c>
      <c r="G309" s="9" t="inlineStr">
        <is>
          <t>Transfer - Checking to Savings</t>
        </is>
      </c>
      <c r="H309">
        <f>IFERROR(INDEX(Categories!$A$5:$A$93,MATCH(G309,Categories!$B$5:$B$93,0)),"")</f>
        <v/>
      </c>
      <c r="I309" s="9" t="inlineStr">
        <is>
          <t>H</t>
        </is>
      </c>
      <c r="J309" s="9" t="inlineStr"/>
    </row>
    <row r="310">
      <c r="A310" s="9" t="inlineStr">
        <is>
          <t>Checking ...0861</t>
        </is>
      </c>
      <c r="B310" s="29" t="n">
        <v>46227</v>
      </c>
      <c r="C310" s="9" t="inlineStr">
        <is>
          <t>AMAZON MARKETPLA INTERNET   043000092701152 WEB ID: 9049016352</t>
        </is>
      </c>
      <c r="D310" s="10" t="n">
        <v>-43.49</v>
      </c>
      <c r="E310" s="9" t="inlineStr">
        <is>
          <t>ACH_DEBIT</t>
        </is>
      </c>
      <c r="F310" s="10" t="n">
        <v>579.83</v>
      </c>
      <c r="G310" s="9" t="inlineStr">
        <is>
          <t>Shop - Amazon</t>
        </is>
      </c>
      <c r="H310">
        <f>IFERROR(INDEX(Categories!$A$5:$A$93,MATCH(G310,Categories!$B$5:$B$93,0)),"")</f>
        <v/>
      </c>
      <c r="I310" s="9" t="inlineStr">
        <is>
          <t>H</t>
        </is>
      </c>
      <c r="J310" s="9" t="inlineStr"/>
    </row>
    <row r="311">
      <c r="A311" s="9" t="inlineStr">
        <is>
          <t>Checking ...0861</t>
        </is>
      </c>
      <c r="B311" s="29" t="n">
        <v>46227</v>
      </c>
      <c r="C311" s="9" t="inlineStr">
        <is>
          <t>MCDONALD'S F2428 SALINAS CA                  07/23</t>
        </is>
      </c>
      <c r="D311" s="10" t="n">
        <v>-46.39</v>
      </c>
      <c r="E311" s="9" t="inlineStr">
        <is>
          <t>DEBIT_CARD</t>
        </is>
      </c>
      <c r="F311" s="10" t="n">
        <v>623.3200000000001</v>
      </c>
      <c r="G311" s="9" t="inlineStr">
        <is>
          <t>Food - Eat Out</t>
        </is>
      </c>
      <c r="H311">
        <f>IFERROR(INDEX(Categories!$A$5:$A$93,MATCH(G311,Categories!$B$5:$B$93,0)),"")</f>
        <v/>
      </c>
      <c r="I311" s="9" t="inlineStr">
        <is>
          <t>D</t>
        </is>
      </c>
      <c r="J311" s="9" t="inlineStr">
        <is>
          <t>Restaurant/fast-food - defaulted to Eat Out; move to Food - Ailynn/Chris/Misc if you know whose order it was</t>
        </is>
      </c>
    </row>
    <row r="312">
      <c r="A312" s="9" t="inlineStr">
        <is>
          <t>Checking ...0861</t>
        </is>
      </c>
      <c r="B312" s="29" t="n">
        <v>46226</v>
      </c>
      <c r="C312" s="9" t="inlineStr">
        <is>
          <t>PAYPAL           PURCHASE   TIKTOK SHOP     WEB ID: PAYPALSI77</t>
        </is>
      </c>
      <c r="D312" s="10" t="n">
        <v>-48.28</v>
      </c>
      <c r="E312" s="9" t="inlineStr">
        <is>
          <t>ACH_DEBIT</t>
        </is>
      </c>
      <c r="F312" s="10" t="n">
        <v>669.71</v>
      </c>
      <c r="G312" s="9" t="inlineStr">
        <is>
          <t>paypal tiktok</t>
        </is>
      </c>
      <c r="H312">
        <f>IFERROR(INDEX(Categories!$A$5:$A$93,MATCH(G312,Categories!$B$5:$B$93,0)),"")</f>
        <v/>
      </c>
      <c r="I312" s="9" t="inlineStr">
        <is>
          <t>H</t>
        </is>
      </c>
      <c r="J312" s="9" t="inlineStr"/>
    </row>
    <row r="313">
      <c r="A313" s="9" t="inlineStr">
        <is>
          <t>Checking ...0861</t>
        </is>
      </c>
      <c r="B313" s="29" t="n">
        <v>46226</v>
      </c>
      <c r="C313" s="9" t="inlineStr">
        <is>
          <t>PAYPAL           PURCHASE   TIKTOK SHOP     WEB ID: PAYPALSI77</t>
        </is>
      </c>
      <c r="D313" s="10" t="n">
        <v>-32.63</v>
      </c>
      <c r="E313" s="9" t="inlineStr">
        <is>
          <t>ACH_DEBIT</t>
        </is>
      </c>
      <c r="F313" s="10" t="n">
        <v>717.99</v>
      </c>
      <c r="G313" s="9" t="inlineStr">
        <is>
          <t>paypal tiktok</t>
        </is>
      </c>
      <c r="H313">
        <f>IFERROR(INDEX(Categories!$A$5:$A$93,MATCH(G313,Categories!$B$5:$B$93,0)),"")</f>
        <v/>
      </c>
      <c r="I313" s="9" t="inlineStr">
        <is>
          <t>H</t>
        </is>
      </c>
      <c r="J313" s="9" t="inlineStr"/>
    </row>
    <row r="314">
      <c r="A314" s="9" t="inlineStr">
        <is>
          <t>Checking ...0861</t>
        </is>
      </c>
      <c r="B314" s="29" t="n">
        <v>46226</v>
      </c>
      <c r="C314" s="9" t="inlineStr">
        <is>
          <t>PAYPAL           PURCHASE   TIKTOK SHOP     WEB ID: PAYPALSI77</t>
        </is>
      </c>
      <c r="D314" s="10" t="n">
        <v>-44.86</v>
      </c>
      <c r="E314" s="9" t="inlineStr">
        <is>
          <t>ACH_DEBIT</t>
        </is>
      </c>
      <c r="F314" s="10" t="n">
        <v>750.62</v>
      </c>
      <c r="G314" s="9" t="inlineStr">
        <is>
          <t>paypal tiktok</t>
        </is>
      </c>
      <c r="H314">
        <f>IFERROR(INDEX(Categories!$A$5:$A$93,MATCH(G314,Categories!$B$5:$B$93,0)),"")</f>
        <v/>
      </c>
      <c r="I314" s="9" t="inlineStr">
        <is>
          <t>H</t>
        </is>
      </c>
      <c r="J314" s="9" t="inlineStr"/>
    </row>
    <row r="315">
      <c r="A315" s="9" t="inlineStr">
        <is>
          <t>Checking ...0861</t>
        </is>
      </c>
      <c r="B315" s="29" t="n">
        <v>46226</v>
      </c>
      <c r="C315" s="9" t="inlineStr">
        <is>
          <t>Taptap Send New York NY                      07/23</t>
        </is>
      </c>
      <c r="D315" s="10" t="n">
        <v>-22</v>
      </c>
      <c r="E315" s="9" t="inlineStr">
        <is>
          <t>DEBIT_CARD</t>
        </is>
      </c>
      <c r="F315" s="10" t="n">
        <v>795.48</v>
      </c>
      <c r="G315" s="9" t="inlineStr">
        <is>
          <t>Remittance - others</t>
        </is>
      </c>
      <c r="H315">
        <f>IFERROR(INDEX(Categories!$A$5:$A$93,MATCH(G315,Categories!$B$5:$B$93,0)),"")</f>
        <v/>
      </c>
      <c r="I315" s="9" t="inlineStr">
        <is>
          <t>R</t>
        </is>
      </c>
      <c r="J315" s="9" t="inlineStr">
        <is>
          <t>Remittance app transfer - recipient not shown; please tell me if this is Aron, Aron's tuition, or someone else</t>
        </is>
      </c>
    </row>
    <row r="316">
      <c r="A316" s="9" t="inlineStr">
        <is>
          <t>Checking ...0861</t>
        </is>
      </c>
      <c r="B316" s="29" t="n">
        <v>46226</v>
      </c>
      <c r="C316" s="9" t="inlineStr">
        <is>
          <t>GOOGLE *Life360 Famil 855-836-3987 CA        07/23</t>
        </is>
      </c>
      <c r="D316" s="10" t="n">
        <v>-13.79</v>
      </c>
      <c r="E316" s="9" t="inlineStr">
        <is>
          <t>DEBIT_CARD</t>
        </is>
      </c>
      <c r="F316" s="10" t="n">
        <v>817.48</v>
      </c>
      <c r="G316" s="9" t="inlineStr">
        <is>
          <t>Life 360</t>
        </is>
      </c>
      <c r="H316">
        <f>IFERROR(INDEX(Categories!$A$5:$A$93,MATCH(G316,Categories!$B$5:$B$93,0)),"")</f>
        <v/>
      </c>
      <c r="I316" s="9" t="inlineStr">
        <is>
          <t>H</t>
        </is>
      </c>
      <c r="J316" s="9" t="inlineStr"/>
    </row>
    <row r="317">
      <c r="A317" s="9" t="inlineStr">
        <is>
          <t>Checking ...0861</t>
        </is>
      </c>
      <c r="B317" s="29" t="n">
        <v>46226</v>
      </c>
      <c r="C317" s="9" t="inlineStr">
        <is>
          <t>SUDZ LLC SALINAS CA                          07/22</t>
        </is>
      </c>
      <c r="D317" s="10" t="n">
        <v>-6.25</v>
      </c>
      <c r="E317" s="9" t="inlineStr">
        <is>
          <t>DEBIT_CARD</t>
        </is>
      </c>
      <c r="F317" s="10" t="n">
        <v>831.27</v>
      </c>
      <c r="G317" s="9" t="inlineStr">
        <is>
          <t>Shop - Others</t>
        </is>
      </c>
      <c r="H317">
        <f>IFERROR(INDEX(Categories!$A$5:$A$93,MATCH(G317,Categories!$B$5:$B$93,0)),"")</f>
        <v/>
      </c>
      <c r="I317" s="9" t="inlineStr">
        <is>
          <t>D</t>
        </is>
      </c>
      <c r="J317" s="9" t="inlineStr"/>
    </row>
    <row r="318">
      <c r="A318" s="9" t="inlineStr">
        <is>
          <t>Checking ...0861</t>
        </is>
      </c>
      <c r="B318" s="29" t="n">
        <v>46226</v>
      </c>
      <c r="C318" s="9" t="inlineStr">
        <is>
          <t>TST*MISSION STREET BBQ Santa Cruz CA         07/22</t>
        </is>
      </c>
      <c r="D318" s="10" t="n">
        <v>-22.78</v>
      </c>
      <c r="E318" s="9" t="inlineStr">
        <is>
          <t>DEBIT_CARD</t>
        </is>
      </c>
      <c r="F318" s="10" t="n">
        <v>837.52</v>
      </c>
      <c r="G318" s="9" t="inlineStr">
        <is>
          <t>Food - Eat Out</t>
        </is>
      </c>
      <c r="H318">
        <f>IFERROR(INDEX(Categories!$A$5:$A$93,MATCH(G318,Categories!$B$5:$B$93,0)),"")</f>
        <v/>
      </c>
      <c r="I318" s="9" t="inlineStr">
        <is>
          <t>D</t>
        </is>
      </c>
      <c r="J318" s="9" t="inlineStr">
        <is>
          <t>Restaurant/fast-food - defaulted to Eat Out; move to Food - Ailynn/Chris/Misc if you know whose order it was</t>
        </is>
      </c>
    </row>
    <row r="319">
      <c r="A319" s="9" t="inlineStr">
        <is>
          <t>Checking ...0861</t>
        </is>
      </c>
      <c r="B319" s="29" t="n">
        <v>46226</v>
      </c>
      <c r="C319" s="9" t="inlineStr">
        <is>
          <t>SP+AFF * WRXDAILY 855-423-3729 CA            07/21</t>
        </is>
      </c>
      <c r="D319" s="10" t="n">
        <v>-220.95</v>
      </c>
      <c r="E319" s="9" t="inlineStr">
        <is>
          <t>DEBIT_CARD</t>
        </is>
      </c>
      <c r="F319" s="10" t="n">
        <v>860.3</v>
      </c>
      <c r="G319" s="9" t="inlineStr">
        <is>
          <t>Shop - Others</t>
        </is>
      </c>
      <c r="H319">
        <f>IFERROR(INDEX(Categories!$A$5:$A$93,MATCH(G319,Categories!$B$5:$B$93,0)),"")</f>
        <v/>
      </c>
      <c r="I319" s="9" t="inlineStr">
        <is>
          <t>R</t>
        </is>
      </c>
      <c r="J319" s="9" t="inlineStr">
        <is>
          <t>Small online-shop charge via an affiliate/Affirm-style processor - description doesn't name the actual store</t>
        </is>
      </c>
    </row>
    <row r="320">
      <c r="A320" s="9" t="inlineStr">
        <is>
          <t>Checking ...0861</t>
        </is>
      </c>
      <c r="B320" s="29" t="n">
        <v>46225</v>
      </c>
      <c r="C320" s="9" t="inlineStr">
        <is>
          <t>Online Payment 30106204002 To PACIFIC GAS &amp; ELECTRIC (PG&amp;E) 07/22</t>
        </is>
      </c>
      <c r="D320" s="10" t="n">
        <v>-207.11</v>
      </c>
      <c r="E320" s="9" t="inlineStr">
        <is>
          <t>BILLPAY</t>
        </is>
      </c>
      <c r="F320" s="10" t="n">
        <v>1081.25</v>
      </c>
      <c r="G320" s="9" t="inlineStr">
        <is>
          <t>PGE</t>
        </is>
      </c>
      <c r="H320">
        <f>IFERROR(INDEX(Categories!$A$5:$A$93,MATCH(G320,Categories!$B$5:$B$93,0)),"")</f>
        <v/>
      </c>
      <c r="I320" s="9" t="inlineStr">
        <is>
          <t>H</t>
        </is>
      </c>
      <c r="J320" s="9" t="inlineStr"/>
    </row>
    <row r="321">
      <c r="A321" s="9" t="inlineStr">
        <is>
          <t>Checking ...0861</t>
        </is>
      </c>
      <c r="B321" s="29" t="n">
        <v>46225</v>
      </c>
      <c r="C321" s="9" t="inlineStr">
        <is>
          <t>Zelle payment to RHIAN ALMO 30105955686</t>
        </is>
      </c>
      <c r="D321" s="10" t="n">
        <v>-31</v>
      </c>
      <c r="E321" s="9" t="inlineStr">
        <is>
          <t>QUICKPAY_DEBIT</t>
        </is>
      </c>
      <c r="F321" s="10" t="n">
        <v>1288.36</v>
      </c>
      <c r="G321" s="9" t="inlineStr">
        <is>
          <t>Others</t>
        </is>
      </c>
      <c r="H321">
        <f>IFERROR(INDEX(Categories!$A$5:$A$93,MATCH(G321,Categories!$B$5:$B$93,0)),"")</f>
        <v/>
      </c>
      <c r="I321" s="9" t="inlineStr">
        <is>
          <t>R</t>
        </is>
      </c>
      <c r="J321" s="9" t="inlineStr">
        <is>
          <t>Zelle sent - please tell me who this person is so I can map them to a category</t>
        </is>
      </c>
    </row>
    <row r="322">
      <c r="A322" s="9" t="inlineStr">
        <is>
          <t>Checking ...0861</t>
        </is>
      </c>
      <c r="B322" s="29" t="n">
        <v>46225</v>
      </c>
      <c r="C322" s="9" t="inlineStr">
        <is>
          <t>AMAZON MARKETPLA INTERNET   043000091283100 WEB ID: 9049016352</t>
        </is>
      </c>
      <c r="D322" s="10" t="n">
        <v>-36.96</v>
      </c>
      <c r="E322" s="9" t="inlineStr">
        <is>
          <t>ACH_DEBIT</t>
        </is>
      </c>
      <c r="F322" s="10" t="n">
        <v>1319.36</v>
      </c>
      <c r="G322" s="9" t="inlineStr">
        <is>
          <t>Shop - Amazon</t>
        </is>
      </c>
      <c r="H322">
        <f>IFERROR(INDEX(Categories!$A$5:$A$93,MATCH(G322,Categories!$B$5:$B$93,0)),"")</f>
        <v/>
      </c>
      <c r="I322" s="9" t="inlineStr">
        <is>
          <t>H</t>
        </is>
      </c>
      <c r="J322" s="9" t="inlineStr"/>
    </row>
    <row r="323">
      <c r="A323" s="9" t="inlineStr">
        <is>
          <t>Checking ...0861</t>
        </is>
      </c>
      <c r="B323" s="29" t="n">
        <v>46225</v>
      </c>
      <c r="C323" s="9" t="inlineStr">
        <is>
          <t>Primo Water Corporatio Vista CA              07/22</t>
        </is>
      </c>
      <c r="D323" s="10" t="n">
        <v>-3.1</v>
      </c>
      <c r="E323" s="9" t="inlineStr">
        <is>
          <t>DEBIT_CARD</t>
        </is>
      </c>
      <c r="F323" s="10" t="n">
        <v>1356.32</v>
      </c>
      <c r="G323" s="9" t="inlineStr">
        <is>
          <t>Water</t>
        </is>
      </c>
      <c r="H323">
        <f>IFERROR(INDEX(Categories!$A$5:$A$93,MATCH(G323,Categories!$B$5:$B$93,0)),"")</f>
        <v/>
      </c>
      <c r="I323" s="9" t="inlineStr">
        <is>
          <t>H</t>
        </is>
      </c>
      <c r="J323" s="9" t="inlineStr"/>
    </row>
    <row r="324">
      <c r="A324" s="9" t="inlineStr">
        <is>
          <t>Checking ...0861</t>
        </is>
      </c>
      <c r="B324" s="29" t="n">
        <v>46225</v>
      </c>
      <c r="C324" s="9" t="inlineStr">
        <is>
          <t>Primo Water Corporatio Vista CA              07/22</t>
        </is>
      </c>
      <c r="D324" s="10" t="n">
        <v>-3.1</v>
      </c>
      <c r="E324" s="9" t="inlineStr">
        <is>
          <t>DEBIT_CARD</t>
        </is>
      </c>
      <c r="F324" s="10" t="n">
        <v>1359.42</v>
      </c>
      <c r="G324" s="9" t="inlineStr">
        <is>
          <t>Water</t>
        </is>
      </c>
      <c r="H324">
        <f>IFERROR(INDEX(Categories!$A$5:$A$93,MATCH(G324,Categories!$B$5:$B$93,0)),"")</f>
        <v/>
      </c>
      <c r="I324" s="9" t="inlineStr">
        <is>
          <t>H</t>
        </is>
      </c>
      <c r="J324" s="9" t="inlineStr"/>
    </row>
    <row r="325">
      <c r="A325" s="9" t="inlineStr">
        <is>
          <t>Checking ...0861</t>
        </is>
      </c>
      <c r="B325" s="29" t="n">
        <v>46225</v>
      </c>
      <c r="C325" s="9" t="inlineStr">
        <is>
          <t>SHELL OIL 10010249000 GILROY CA              07/21</t>
        </is>
      </c>
      <c r="D325" s="10" t="n">
        <v>-75.45</v>
      </c>
      <c r="E325" s="9" t="inlineStr">
        <is>
          <t>DEBIT_CARD</t>
        </is>
      </c>
      <c r="F325" s="10" t="n">
        <v>1362.52</v>
      </c>
      <c r="G325" s="9" t="inlineStr">
        <is>
          <t>Gas</t>
        </is>
      </c>
      <c r="H325">
        <f>IFERROR(INDEX(Categories!$A$5:$A$93,MATCH(G325,Categories!$B$5:$B$93,0)),"")</f>
        <v/>
      </c>
      <c r="I325" s="9" t="inlineStr">
        <is>
          <t>D</t>
        </is>
      </c>
      <c r="J325" s="9" t="inlineStr"/>
    </row>
    <row r="326">
      <c r="A326" s="9" t="inlineStr">
        <is>
          <t>Checking ...0861</t>
        </is>
      </c>
      <c r="B326" s="29" t="n">
        <v>46225</v>
      </c>
      <c r="C326" s="9" t="inlineStr">
        <is>
          <t>Taptap Send New York NY                      07/22</t>
        </is>
      </c>
      <c r="D326" s="10" t="n">
        <v>-29.5</v>
      </c>
      <c r="E326" s="9" t="inlineStr">
        <is>
          <t>DEBIT_CARD</t>
        </is>
      </c>
      <c r="F326" s="10" t="n">
        <v>1437.97</v>
      </c>
      <c r="G326" s="9" t="inlineStr">
        <is>
          <t>Remittance - others</t>
        </is>
      </c>
      <c r="H326">
        <f>IFERROR(INDEX(Categories!$A$5:$A$93,MATCH(G326,Categories!$B$5:$B$93,0)),"")</f>
        <v/>
      </c>
      <c r="I326" s="9" t="inlineStr">
        <is>
          <t>R</t>
        </is>
      </c>
      <c r="J326" s="9" t="inlineStr">
        <is>
          <t>Remittance app transfer - recipient not shown; please tell me if this is Aron, Aron's tuition, or someone else</t>
        </is>
      </c>
    </row>
    <row r="327">
      <c r="A327" s="9" t="inlineStr">
        <is>
          <t>Checking ...0861</t>
        </is>
      </c>
      <c r="B327" s="29" t="n">
        <v>46225</v>
      </c>
      <c r="C327" s="9" t="inlineStr">
        <is>
          <t>JOLLIBEE MILPITAS CA                         07/21</t>
        </is>
      </c>
      <c r="D327" s="10" t="n">
        <v>-38.49</v>
      </c>
      <c r="E327" s="9" t="inlineStr">
        <is>
          <t>DEBIT_CARD</t>
        </is>
      </c>
      <c r="F327" s="10" t="n">
        <v>1467.47</v>
      </c>
      <c r="G327" s="9" t="inlineStr">
        <is>
          <t>Food - Eat Out</t>
        </is>
      </c>
      <c r="H327">
        <f>IFERROR(INDEX(Categories!$A$5:$A$93,MATCH(G327,Categories!$B$5:$B$93,0)),"")</f>
        <v/>
      </c>
      <c r="I327" s="9" t="inlineStr">
        <is>
          <t>D</t>
        </is>
      </c>
      <c r="J327" s="9" t="inlineStr">
        <is>
          <t>Restaurant/fast-food - defaulted to Eat Out; move to Food - Ailynn/Chris/Misc if you know whose order it was</t>
        </is>
      </c>
    </row>
    <row r="328">
      <c r="A328" s="9" t="inlineStr">
        <is>
          <t>Checking ...0861</t>
        </is>
      </c>
      <c r="B328" s="29" t="n">
        <v>46225</v>
      </c>
      <c r="C328" s="9" t="inlineStr">
        <is>
          <t>COCA COLA SAN JOSE SAN JOSE CA               07/21</t>
        </is>
      </c>
      <c r="D328" s="10" t="n">
        <v>-8</v>
      </c>
      <c r="E328" s="9" t="inlineStr">
        <is>
          <t>DEBIT_CARD</t>
        </is>
      </c>
      <c r="F328" s="10" t="n">
        <v>1505.96</v>
      </c>
      <c r="G328" s="9" t="inlineStr">
        <is>
          <t>Food - Eat Out</t>
        </is>
      </c>
      <c r="H328">
        <f>IFERROR(INDEX(Categories!$A$5:$A$93,MATCH(G328,Categories!$B$5:$B$93,0)),"")</f>
        <v/>
      </c>
      <c r="I328" s="9" t="inlineStr">
        <is>
          <t>D</t>
        </is>
      </c>
      <c r="J328" s="9" t="inlineStr">
        <is>
          <t>Restaurant/fast-food - defaulted to Eat Out; move to Food - Ailynn/Chris/Misc if you know whose order it was</t>
        </is>
      </c>
    </row>
    <row r="329">
      <c r="A329" s="9" t="inlineStr">
        <is>
          <t>Checking ...0861</t>
        </is>
      </c>
      <c r="B329" s="29" t="n">
        <v>46225</v>
      </c>
      <c r="C329" s="9" t="inlineStr">
        <is>
          <t>Columbia 442 Milpitas CA                     07/22</t>
        </is>
      </c>
      <c r="D329" s="10" t="n">
        <v>-108.99</v>
      </c>
      <c r="E329" s="9" t="inlineStr">
        <is>
          <t>DEBIT_CARD</t>
        </is>
      </c>
      <c r="F329" s="10" t="n">
        <v>1513.96</v>
      </c>
      <c r="G329" s="9" t="inlineStr">
        <is>
          <t>Others</t>
        </is>
      </c>
      <c r="H329">
        <f>IFERROR(INDEX(Categories!$A$5:$A$93,MATCH(G329,Categories!$B$5:$B$93,0)),"")</f>
        <v/>
      </c>
      <c r="I329" s="9" t="inlineStr">
        <is>
          <t>R</t>
        </is>
      </c>
      <c r="J329" s="9" t="inlineStr">
        <is>
          <t>Unrecognized charge - please tell me what this is</t>
        </is>
      </c>
    </row>
    <row r="330">
      <c r="A330" s="9" t="inlineStr">
        <is>
          <t>Checking ...0861</t>
        </is>
      </c>
      <c r="B330" s="29" t="n">
        <v>46225</v>
      </c>
      <c r="C330" s="9" t="inlineStr">
        <is>
          <t>Uniqlo USA LLC UNIQLO_U MILPITAS CA          07/21</t>
        </is>
      </c>
      <c r="D330" s="10" t="n">
        <v>-16.49</v>
      </c>
      <c r="E330" s="9" t="inlineStr">
        <is>
          <t>DEBIT_CARD</t>
        </is>
      </c>
      <c r="F330" s="10" t="n">
        <v>1622.95</v>
      </c>
      <c r="G330" s="9" t="inlineStr">
        <is>
          <t>Shop - Others</t>
        </is>
      </c>
      <c r="H330">
        <f>IFERROR(INDEX(Categories!$A$5:$A$93,MATCH(G330,Categories!$B$5:$B$93,0)),"")</f>
        <v/>
      </c>
      <c r="I330" s="9" t="inlineStr">
        <is>
          <t>D</t>
        </is>
      </c>
      <c r="J330" s="9" t="inlineStr"/>
    </row>
    <row r="331">
      <c r="A331" s="9" t="inlineStr">
        <is>
          <t>Checking ...0861</t>
        </is>
      </c>
      <c r="B331" s="29" t="n">
        <v>46224</v>
      </c>
      <c r="C331" s="9" t="inlineStr">
        <is>
          <t>PAYPAL           INST XFER  PPCR CC REPAYME WEB ID: PAYPALSI77</t>
        </is>
      </c>
      <c r="D331" s="10" t="n">
        <v>-35.04</v>
      </c>
      <c r="E331" s="9" t="inlineStr">
        <is>
          <t>ACH_DEBIT</t>
        </is>
      </c>
      <c r="F331" s="10" t="n">
        <v>1639.44</v>
      </c>
      <c r="G331" s="9" t="inlineStr">
        <is>
          <t>CC - paypal</t>
        </is>
      </c>
      <c r="H331">
        <f>IFERROR(INDEX(Categories!$A$5:$A$93,MATCH(G331,Categories!$B$5:$B$93,0)),"")</f>
        <v/>
      </c>
      <c r="I331" s="9" t="inlineStr">
        <is>
          <t>H</t>
        </is>
      </c>
      <c r="J331" s="9" t="inlineStr"/>
    </row>
    <row r="332">
      <c r="A332" s="9" t="inlineStr">
        <is>
          <t>Checking ...0861</t>
        </is>
      </c>
      <c r="B332" s="29" t="n">
        <v>46224</v>
      </c>
      <c r="C332" s="9" t="inlineStr">
        <is>
          <t>NOB HILL FOODS 607 SALINAS CA        651529  07/21</t>
        </is>
      </c>
      <c r="D332" s="10" t="n">
        <v>-30.03</v>
      </c>
      <c r="E332" s="9" t="inlineStr">
        <is>
          <t>DEBIT_CARD</t>
        </is>
      </c>
      <c r="F332" s="10" t="n">
        <v>1674.48</v>
      </c>
      <c r="G332" s="9" t="inlineStr">
        <is>
          <t>Groceries - Others</t>
        </is>
      </c>
      <c r="H332">
        <f>IFERROR(INDEX(Categories!$A$5:$A$93,MATCH(G332,Categories!$B$5:$B$93,0)),"")</f>
        <v/>
      </c>
      <c r="I332" s="9" t="inlineStr">
        <is>
          <t>H</t>
        </is>
      </c>
      <c r="J332" s="9" t="inlineStr"/>
    </row>
    <row r="333">
      <c r="A333" s="9" t="inlineStr">
        <is>
          <t>Checking ...0861</t>
        </is>
      </c>
      <c r="B333" s="29" t="n">
        <v>46224</v>
      </c>
      <c r="C333" s="9" t="inlineStr">
        <is>
          <t>SUBWAY 40507 SALINAS CA                      07/20</t>
        </is>
      </c>
      <c r="D333" s="10" t="n">
        <v>-34.97</v>
      </c>
      <c r="E333" s="9" t="inlineStr">
        <is>
          <t>DEBIT_CARD</t>
        </is>
      </c>
      <c r="F333" s="10" t="n">
        <v>1704.51</v>
      </c>
      <c r="G333" s="9" t="inlineStr">
        <is>
          <t>Food - Eat Out</t>
        </is>
      </c>
      <c r="H333">
        <f>IFERROR(INDEX(Categories!$A$5:$A$93,MATCH(G333,Categories!$B$5:$B$93,0)),"")</f>
        <v/>
      </c>
      <c r="I333" s="9" t="inlineStr">
        <is>
          <t>D</t>
        </is>
      </c>
      <c r="J333" s="9" t="inlineStr">
        <is>
          <t>Restaurant/fast-food - defaulted to Eat Out; move to Food - Ailynn/Chris/Misc if you know whose order it was</t>
        </is>
      </c>
    </row>
    <row r="334">
      <c r="A334" s="9" t="inlineStr">
        <is>
          <t>Checking ...0861</t>
        </is>
      </c>
      <c r="B334" s="29" t="n">
        <v>46224</v>
      </c>
      <c r="C334" s="9" t="inlineStr">
        <is>
          <t>ABC*P 00993 PF SALINAS SALINAS CA            07/20</t>
        </is>
      </c>
      <c r="D334" s="10" t="n">
        <v>-58</v>
      </c>
      <c r="E334" s="9" t="inlineStr">
        <is>
          <t>DEBIT_CARD</t>
        </is>
      </c>
      <c r="F334" s="10" t="n">
        <v>1739.48</v>
      </c>
      <c r="G334" s="9" t="inlineStr">
        <is>
          <t>Food - Eat Out</t>
        </is>
      </c>
      <c r="H334">
        <f>IFERROR(INDEX(Categories!$A$5:$A$93,MATCH(G334,Categories!$B$5:$B$93,0)),"")</f>
        <v/>
      </c>
      <c r="I334" s="9" t="inlineStr">
        <is>
          <t>D</t>
        </is>
      </c>
      <c r="J334" s="9" t="inlineStr"/>
    </row>
    <row r="335">
      <c r="A335" s="9" t="inlineStr">
        <is>
          <t>Checking ...0861</t>
        </is>
      </c>
      <c r="B335" s="29" t="n">
        <v>46224</v>
      </c>
      <c r="C335" s="9" t="inlineStr">
        <is>
          <t>DD *DOORDASH DIMSUMIN 855-431-0459 CA        07/21</t>
        </is>
      </c>
      <c r="D335" s="10" t="n">
        <v>-80.52</v>
      </c>
      <c r="E335" s="9" t="inlineStr">
        <is>
          <t>DEBIT_CARD</t>
        </is>
      </c>
      <c r="F335" s="10" t="n">
        <v>1797.48</v>
      </c>
      <c r="G335" s="9" t="inlineStr">
        <is>
          <t>Food - To go</t>
        </is>
      </c>
      <c r="H335">
        <f>IFERROR(INDEX(Categories!$A$5:$A$93,MATCH(G335,Categories!$B$5:$B$93,0)),"")</f>
        <v/>
      </c>
      <c r="I335" s="9" t="inlineStr">
        <is>
          <t>H</t>
        </is>
      </c>
      <c r="J335" s="9" t="inlineStr"/>
    </row>
    <row r="336">
      <c r="A336" s="9" t="inlineStr">
        <is>
          <t>Checking ...0861</t>
        </is>
      </c>
      <c r="B336" s="29" t="n">
        <v>46224</v>
      </c>
      <c r="C336" s="9" t="inlineStr">
        <is>
          <t>Zelle payment from RHIAN ABIGAIL ALMO 30096874179</t>
        </is>
      </c>
      <c r="D336" s="10" t="n">
        <v>50</v>
      </c>
      <c r="E336" s="9" t="inlineStr">
        <is>
          <t>QUICKPAY_CREDIT</t>
        </is>
      </c>
      <c r="F336" s="10" t="n">
        <v>1878</v>
      </c>
      <c r="G336" s="9" t="inlineStr">
        <is>
          <t>Others - Income</t>
        </is>
      </c>
      <c r="H336">
        <f>IFERROR(INDEX(Categories!$A$5:$A$93,MATCH(G336,Categories!$B$5:$B$93,0)),"")</f>
        <v/>
      </c>
      <c r="I336" s="9" t="inlineStr">
        <is>
          <t>R</t>
        </is>
      </c>
      <c r="J336" s="9" t="inlineStr">
        <is>
          <t>Zelle received - please tell me who this person is so I can map them to a category</t>
        </is>
      </c>
    </row>
    <row r="337">
      <c r="A337" s="9" t="inlineStr">
        <is>
          <t>Checking ...0861</t>
        </is>
      </c>
      <c r="B337" s="29" t="n">
        <v>46224</v>
      </c>
      <c r="C337" s="9" t="inlineStr">
        <is>
          <t>PAYPAL           TRANSFER                   PPD ID: PAYPALSD11</t>
        </is>
      </c>
      <c r="D337" s="10" t="n">
        <v>1828</v>
      </c>
      <c r="E337" s="9" t="inlineStr">
        <is>
          <t>ACH_CREDIT</t>
        </is>
      </c>
      <c r="F337" s="10" t="n">
        <v>1828</v>
      </c>
      <c r="G337" s="9" t="inlineStr">
        <is>
          <t>Transfer - PayPal to Checking</t>
        </is>
      </c>
      <c r="H337">
        <f>IFERROR(INDEX(Categories!$A$5:$A$93,MATCH(G337,Categories!$B$5:$B$93,0)),"")</f>
        <v/>
      </c>
      <c r="I337" s="9" t="inlineStr">
        <is>
          <t>H</t>
        </is>
      </c>
      <c r="J337" s="9" t="inlineStr"/>
    </row>
    <row r="338">
      <c r="A338" s="9" t="inlineStr">
        <is>
          <t>Checking ...0861</t>
        </is>
      </c>
      <c r="B338" s="29" t="n">
        <v>46223</v>
      </c>
      <c r="C338" s="9" t="inlineStr">
        <is>
          <t>AFFIRM.COM PAYME AFFIRM.COM ST-D1O6C6T1W5L9 WEB ID: 1800948598</t>
        </is>
      </c>
      <c r="D338" s="10" t="n">
        <v>-68.11</v>
      </c>
      <c r="E338" s="9" t="inlineStr">
        <is>
          <t>ACH_DEBIT</t>
        </is>
      </c>
      <c r="F338" s="10" t="n">
        <v>0</v>
      </c>
      <c r="G338" s="9" t="inlineStr">
        <is>
          <t>Affirm</t>
        </is>
      </c>
      <c r="H338">
        <f>IFERROR(INDEX(Categories!$A$5:$A$93,MATCH(G338,Categories!$B$5:$B$93,0)),"")</f>
        <v/>
      </c>
      <c r="I338" s="9" t="inlineStr">
        <is>
          <t>H</t>
        </is>
      </c>
      <c r="J338" s="9" t="inlineStr"/>
    </row>
    <row r="339">
      <c r="A339" s="9" t="inlineStr">
        <is>
          <t>Checking ...0861</t>
        </is>
      </c>
      <c r="B339" s="29" t="n">
        <v>46223</v>
      </c>
      <c r="C339" s="9" t="inlineStr">
        <is>
          <t>AFFIRM.COM PAYME AFFIRM.COM ST-R1Y0L5G3A6O6 WEB ID: 1800948598</t>
        </is>
      </c>
      <c r="D339" s="10" t="n">
        <v>-213.31</v>
      </c>
      <c r="E339" s="9" t="inlineStr">
        <is>
          <t>ACH_DEBIT</t>
        </is>
      </c>
      <c r="F339" s="10" t="n">
        <v>68.11</v>
      </c>
      <c r="G339" s="9" t="inlineStr">
        <is>
          <t>Affirm</t>
        </is>
      </c>
      <c r="H339">
        <f>IFERROR(INDEX(Categories!$A$5:$A$93,MATCH(G339,Categories!$B$5:$B$93,0)),"")</f>
        <v/>
      </c>
      <c r="I339" s="9" t="inlineStr">
        <is>
          <t>H</t>
        </is>
      </c>
      <c r="J339" s="9" t="inlineStr"/>
    </row>
    <row r="340">
      <c r="A340" s="9" t="inlineStr">
        <is>
          <t>Checking ...0861</t>
        </is>
      </c>
      <c r="B340" s="29" t="n">
        <v>46223</v>
      </c>
      <c r="C340" s="9" t="inlineStr">
        <is>
          <t>AMAZON MARKETPLA INTERNET   043000096650126 WEB ID: 9049016352</t>
        </is>
      </c>
      <c r="D340" s="10" t="n">
        <v>-35.12</v>
      </c>
      <c r="E340" s="9" t="inlineStr">
        <is>
          <t>ACH_DEBIT</t>
        </is>
      </c>
      <c r="F340" s="10" t="n">
        <v>281.42</v>
      </c>
      <c r="G340" s="9" t="inlineStr">
        <is>
          <t>Shop - Amazon</t>
        </is>
      </c>
      <c r="H340">
        <f>IFERROR(INDEX(Categories!$A$5:$A$93,MATCH(G340,Categories!$B$5:$B$93,0)),"")</f>
        <v/>
      </c>
      <c r="I340" s="9" t="inlineStr">
        <is>
          <t>H</t>
        </is>
      </c>
      <c r="J340" s="9" t="inlineStr"/>
    </row>
    <row r="341">
      <c r="A341" s="9" t="inlineStr">
        <is>
          <t>Checking ...0861</t>
        </is>
      </c>
      <c r="B341" s="29" t="n">
        <v>46223</v>
      </c>
      <c r="C341" s="9" t="inlineStr">
        <is>
          <t>AFFIRM.COM PAYME AFFIRM.COM ST-J6V3O8M4X7U8 WEB ID: 4270465600</t>
        </is>
      </c>
      <c r="D341" s="10" t="n">
        <v>-98.59</v>
      </c>
      <c r="E341" s="9" t="inlineStr">
        <is>
          <t>ACH_DEBIT</t>
        </is>
      </c>
      <c r="F341" s="10" t="n">
        <v>316.54</v>
      </c>
      <c r="G341" s="9" t="inlineStr">
        <is>
          <t>Affirm</t>
        </is>
      </c>
      <c r="H341">
        <f>IFERROR(INDEX(Categories!$A$5:$A$93,MATCH(G341,Categories!$B$5:$B$93,0)),"")</f>
        <v/>
      </c>
      <c r="I341" s="9" t="inlineStr">
        <is>
          <t>H</t>
        </is>
      </c>
      <c r="J341" s="9" t="inlineStr"/>
    </row>
    <row r="342">
      <c r="A342" s="9" t="inlineStr">
        <is>
          <t>Checking ...0861</t>
        </is>
      </c>
      <c r="B342" s="29" t="n">
        <v>46223</v>
      </c>
      <c r="C342" s="9" t="inlineStr">
        <is>
          <t>SAFEWAY #1232 KING CITY CA                   07/19</t>
        </is>
      </c>
      <c r="D342" s="10" t="n">
        <v>-30</v>
      </c>
      <c r="E342" s="9" t="inlineStr">
        <is>
          <t>DEBIT_CARD</t>
        </is>
      </c>
      <c r="F342" s="10" t="n">
        <v>415.13</v>
      </c>
      <c r="G342" s="9" t="inlineStr">
        <is>
          <t>Groceries - Safeway</t>
        </is>
      </c>
      <c r="H342">
        <f>IFERROR(INDEX(Categories!$A$5:$A$93,MATCH(G342,Categories!$B$5:$B$93,0)),"")</f>
        <v/>
      </c>
      <c r="I342" s="9" t="inlineStr">
        <is>
          <t>H</t>
        </is>
      </c>
      <c r="J342" s="9" t="inlineStr"/>
    </row>
    <row r="343">
      <c r="A343" s="9" t="inlineStr">
        <is>
          <t>Checking ...0861</t>
        </is>
      </c>
      <c r="B343" s="29" t="n">
        <v>46223</v>
      </c>
      <c r="C343" s="9" t="inlineStr">
        <is>
          <t>MADONNA INN - BK SAN LUIS OBIS CA            07/20</t>
        </is>
      </c>
      <c r="D343" s="10" t="n">
        <v>-60</v>
      </c>
      <c r="E343" s="9" t="inlineStr">
        <is>
          <t>DEBIT_CARD</t>
        </is>
      </c>
      <c r="F343" s="10" t="n">
        <v>445.13</v>
      </c>
      <c r="G343" s="9" t="inlineStr">
        <is>
          <t>Vacation</t>
        </is>
      </c>
      <c r="H343">
        <f>IFERROR(INDEX(Categories!$A$5:$A$93,MATCH(G343,Categories!$B$5:$B$93,0)),"")</f>
        <v/>
      </c>
      <c r="I343" s="9" t="inlineStr">
        <is>
          <t>D</t>
        </is>
      </c>
      <c r="J343" s="9" t="inlineStr">
        <is>
          <t>Hotel/travel-city charge, looks like part of a trip</t>
        </is>
      </c>
    </row>
    <row r="344">
      <c r="A344" s="9" t="inlineStr">
        <is>
          <t>Checking ...0861</t>
        </is>
      </c>
      <c r="B344" s="29" t="n">
        <v>46223</v>
      </c>
      <c r="C344" s="9" t="inlineStr">
        <is>
          <t>MADONNA INN - MGS SAN LUIS OBIS CA   971101  07/19</t>
        </is>
      </c>
      <c r="D344" s="10" t="n">
        <v>-7.61</v>
      </c>
      <c r="E344" s="9" t="inlineStr">
        <is>
          <t>DEBIT_CARD</t>
        </is>
      </c>
      <c r="F344" s="10" t="n">
        <v>505.13</v>
      </c>
      <c r="G344" s="9" t="inlineStr">
        <is>
          <t>Vacation</t>
        </is>
      </c>
      <c r="H344">
        <f>IFERROR(INDEX(Categories!$A$5:$A$93,MATCH(G344,Categories!$B$5:$B$93,0)),"")</f>
        <v/>
      </c>
      <c r="I344" s="9" t="inlineStr">
        <is>
          <t>D</t>
        </is>
      </c>
      <c r="J344" s="9" t="inlineStr">
        <is>
          <t>Hotel/travel-city charge, looks like part of a trip</t>
        </is>
      </c>
    </row>
    <row r="345">
      <c r="A345" s="9" t="inlineStr">
        <is>
          <t>Checking ...0861</t>
        </is>
      </c>
      <c r="B345" s="29" t="n">
        <v>46223</v>
      </c>
      <c r="C345" s="9" t="inlineStr">
        <is>
          <t>GIV*FIRST PRESBY 831-4227811 CA              07/19</t>
        </is>
      </c>
      <c r="D345" s="10" t="n">
        <v>-20</v>
      </c>
      <c r="E345" s="9" t="inlineStr">
        <is>
          <t>DEBIT_CARD</t>
        </is>
      </c>
      <c r="F345" s="10" t="n">
        <v>512.74</v>
      </c>
      <c r="G345" s="9" t="inlineStr">
        <is>
          <t>Others</t>
        </is>
      </c>
      <c r="H345">
        <f>IFERROR(INDEX(Categories!$A$5:$A$93,MATCH(G345,Categories!$B$5:$B$93,0)),"")</f>
        <v/>
      </c>
      <c r="I345" s="9" t="inlineStr">
        <is>
          <t>H</t>
        </is>
      </c>
      <c r="J345" s="9" t="inlineStr">
        <is>
          <t>Recurring $20 church/charitable giving - no matching category in your list, put under Others</t>
        </is>
      </c>
    </row>
    <row r="346">
      <c r="A346" s="9" t="inlineStr">
        <is>
          <t>Checking ...0861</t>
        </is>
      </c>
      <c r="B346" s="29" t="n">
        <v>46223</v>
      </c>
      <c r="C346" s="9" t="inlineStr">
        <is>
          <t>TST*OLD CUSTOM HOUSE Avila Beach CA          07/18</t>
        </is>
      </c>
      <c r="D346" s="10" t="n">
        <v>-42.67</v>
      </c>
      <c r="E346" s="9" t="inlineStr">
        <is>
          <t>DEBIT_CARD</t>
        </is>
      </c>
      <c r="F346" s="10" t="n">
        <v>532.74</v>
      </c>
      <c r="G346" s="9" t="inlineStr">
        <is>
          <t>Food - Eat Out</t>
        </is>
      </c>
      <c r="H346">
        <f>IFERROR(INDEX(Categories!$A$5:$A$93,MATCH(G346,Categories!$B$5:$B$93,0)),"")</f>
        <v/>
      </c>
      <c r="I346" s="9" t="inlineStr">
        <is>
          <t>D</t>
        </is>
      </c>
      <c r="J346" s="9" t="inlineStr"/>
    </row>
    <row r="347">
      <c r="A347" s="9" t="inlineStr">
        <is>
          <t>Checking ...0861</t>
        </is>
      </c>
      <c r="B347" s="29" t="n">
        <v>46223</v>
      </c>
      <c r="C347" s="9" t="inlineStr">
        <is>
          <t>Taptap Send New York NY                      07/18</t>
        </is>
      </c>
      <c r="D347" s="10" t="n">
        <v>-300</v>
      </c>
      <c r="E347" s="9" t="inlineStr">
        <is>
          <t>DEBIT_CARD</t>
        </is>
      </c>
      <c r="F347" s="10" t="n">
        <v>575.41</v>
      </c>
      <c r="G347" s="9" t="inlineStr">
        <is>
          <t>Remittance - others</t>
        </is>
      </c>
      <c r="H347">
        <f>IFERROR(INDEX(Categories!$A$5:$A$93,MATCH(G347,Categories!$B$5:$B$93,0)),"")</f>
        <v/>
      </c>
      <c r="I347" s="9" t="inlineStr">
        <is>
          <t>R</t>
        </is>
      </c>
      <c r="J347" s="9" t="inlineStr">
        <is>
          <t>Remittance app transfer - recipient not shown; please tell me if this is Aron, Aron's tuition, or someone else</t>
        </is>
      </c>
    </row>
    <row r="348">
      <c r="A348" s="9" t="inlineStr">
        <is>
          <t>Checking ...0861</t>
        </is>
      </c>
      <c r="B348" s="29" t="n">
        <v>46223</v>
      </c>
      <c r="C348" s="9" t="inlineStr">
        <is>
          <t>Tommy Hilfiger Pismo Beach CA                07/18</t>
        </is>
      </c>
      <c r="D348" s="10" t="n">
        <v>-38.62</v>
      </c>
      <c r="E348" s="9" t="inlineStr">
        <is>
          <t>DEBIT_CARD</t>
        </is>
      </c>
      <c r="F348" s="10" t="n">
        <v>875.41</v>
      </c>
      <c r="G348" s="9" t="inlineStr">
        <is>
          <t>Shop - Others</t>
        </is>
      </c>
      <c r="H348">
        <f>IFERROR(INDEX(Categories!$A$5:$A$93,MATCH(G348,Categories!$B$5:$B$93,0)),"")</f>
        <v/>
      </c>
      <c r="I348" s="9" t="inlineStr">
        <is>
          <t>D</t>
        </is>
      </c>
      <c r="J348" s="9" t="inlineStr"/>
    </row>
    <row r="349">
      <c r="A349" s="9" t="inlineStr">
        <is>
          <t>Checking ...0861</t>
        </is>
      </c>
      <c r="B349" s="29" t="n">
        <v>46223</v>
      </c>
      <c r="C349" s="9" t="inlineStr">
        <is>
          <t>TST*WOOLYS THE OYSTER Pismo Beach CA         07/18</t>
        </is>
      </c>
      <c r="D349" s="10" t="n">
        <v>-44.33</v>
      </c>
      <c r="E349" s="9" t="inlineStr">
        <is>
          <t>DEBIT_CARD</t>
        </is>
      </c>
      <c r="F349" s="10" t="n">
        <v>914.03</v>
      </c>
      <c r="G349" s="9" t="inlineStr">
        <is>
          <t>Food - Eat Out</t>
        </is>
      </c>
      <c r="H349">
        <f>IFERROR(INDEX(Categories!$A$5:$A$93,MATCH(G349,Categories!$B$5:$B$93,0)),"")</f>
        <v/>
      </c>
      <c r="I349" s="9" t="inlineStr">
        <is>
          <t>D</t>
        </is>
      </c>
      <c r="J349" s="9" t="inlineStr"/>
    </row>
    <row r="350">
      <c r="A350" s="9" t="inlineStr">
        <is>
          <t>Checking ...0861</t>
        </is>
      </c>
      <c r="B350" s="29" t="n">
        <v>46223</v>
      </c>
      <c r="C350" s="9" t="inlineStr">
        <is>
          <t>BOARDWALK PLAZA PISMO BEACH CA               07/18</t>
        </is>
      </c>
      <c r="D350" s="10" t="n">
        <v>-101.68</v>
      </c>
      <c r="E350" s="9" t="inlineStr">
        <is>
          <t>DEBIT_CARD</t>
        </is>
      </c>
      <c r="F350" s="10" t="n">
        <v>958.36</v>
      </c>
      <c r="G350" s="9" t="inlineStr">
        <is>
          <t>Vacation</t>
        </is>
      </c>
      <c r="H350">
        <f>IFERROR(INDEX(Categories!$A$5:$A$93,MATCH(G350,Categories!$B$5:$B$93,0)),"")</f>
        <v/>
      </c>
      <c r="I350" s="9" t="inlineStr">
        <is>
          <t>D</t>
        </is>
      </c>
      <c r="J350" s="9" t="inlineStr">
        <is>
          <t>Hotel/travel-city charge, looks like part of a trip</t>
        </is>
      </c>
    </row>
    <row r="351">
      <c r="A351" s="9" t="inlineStr">
        <is>
          <t>Checking ...0861</t>
        </is>
      </c>
      <c r="B351" s="29" t="n">
        <v>46223</v>
      </c>
      <c r="C351" s="9" t="inlineStr">
        <is>
          <t>CITY PISMO BEACH - PAR PISMO BEACH CA        07/18</t>
        </is>
      </c>
      <c r="D351" s="10" t="n">
        <v>-15</v>
      </c>
      <c r="E351" s="9" t="inlineStr">
        <is>
          <t>DEBIT_CARD</t>
        </is>
      </c>
      <c r="F351" s="10" t="n">
        <v>1060.04</v>
      </c>
      <c r="G351" s="9" t="inlineStr">
        <is>
          <t>Vacation</t>
        </is>
      </c>
      <c r="H351">
        <f>IFERROR(INDEX(Categories!$A$5:$A$93,MATCH(G351,Categories!$B$5:$B$93,0)),"")</f>
        <v/>
      </c>
      <c r="I351" s="9" t="inlineStr">
        <is>
          <t>D</t>
        </is>
      </c>
      <c r="J351" s="9" t="inlineStr">
        <is>
          <t>Hotel/travel-city charge, looks like part of a trip</t>
        </is>
      </c>
    </row>
    <row r="352">
      <c r="A352" s="9" t="inlineStr">
        <is>
          <t>Checking ...0861</t>
        </is>
      </c>
      <c r="B352" s="29" t="n">
        <v>46223</v>
      </c>
      <c r="C352" s="9" t="inlineStr">
        <is>
          <t>SHELL SERVICE STATION SOLEDAD CA     634648  07/18</t>
        </is>
      </c>
      <c r="D352" s="10" t="n">
        <v>-74.34</v>
      </c>
      <c r="E352" s="9" t="inlineStr">
        <is>
          <t>DEBIT_CARD</t>
        </is>
      </c>
      <c r="F352" s="10" t="n">
        <v>1075.04</v>
      </c>
      <c r="G352" s="9" t="inlineStr">
        <is>
          <t>Gas</t>
        </is>
      </c>
      <c r="H352">
        <f>IFERROR(INDEX(Categories!$A$5:$A$93,MATCH(G352,Categories!$B$5:$B$93,0)),"")</f>
        <v/>
      </c>
      <c r="I352" s="9" t="inlineStr">
        <is>
          <t>D</t>
        </is>
      </c>
      <c r="J352" s="9" t="inlineStr"/>
    </row>
    <row r="353">
      <c r="A353" s="9" t="inlineStr">
        <is>
          <t>Checking ...0861</t>
        </is>
      </c>
      <c r="B353" s="29" t="n">
        <v>46223</v>
      </c>
      <c r="C353" s="9" t="inlineStr">
        <is>
          <t>Primo Water Corporatio Vista CA              07/18</t>
        </is>
      </c>
      <c r="D353" s="10" t="n">
        <v>-3.1</v>
      </c>
      <c r="E353" s="9" t="inlineStr">
        <is>
          <t>DEBIT_CARD</t>
        </is>
      </c>
      <c r="F353" s="10" t="n">
        <v>1149.38</v>
      </c>
      <c r="G353" s="9" t="inlineStr">
        <is>
          <t>Water</t>
        </is>
      </c>
      <c r="H353">
        <f>IFERROR(INDEX(Categories!$A$5:$A$93,MATCH(G353,Categories!$B$5:$B$93,0)),"")</f>
        <v/>
      </c>
      <c r="I353" s="9" t="inlineStr">
        <is>
          <t>H</t>
        </is>
      </c>
      <c r="J353" s="9" t="inlineStr"/>
    </row>
    <row r="354">
      <c r="A354" s="9" t="inlineStr">
        <is>
          <t>Checking ...0861</t>
        </is>
      </c>
      <c r="B354" s="29" t="n">
        <v>46223</v>
      </c>
      <c r="C354" s="9" t="inlineStr">
        <is>
          <t>LA SALON AND SPA SALINAS CA                  07/17</t>
        </is>
      </c>
      <c r="D354" s="10" t="n">
        <v>-25</v>
      </c>
      <c r="E354" s="9" t="inlineStr">
        <is>
          <t>DEBIT_CARD</t>
        </is>
      </c>
      <c r="F354" s="10" t="n">
        <v>1152.48</v>
      </c>
      <c r="G354" s="9" t="inlineStr">
        <is>
          <t>Shop - Others</t>
        </is>
      </c>
      <c r="H354">
        <f>IFERROR(INDEX(Categories!$A$5:$A$93,MATCH(G354,Categories!$B$5:$B$93,0)),"")</f>
        <v/>
      </c>
      <c r="I354" s="9" t="inlineStr">
        <is>
          <t>D</t>
        </is>
      </c>
      <c r="J354" s="9" t="inlineStr"/>
    </row>
    <row r="355">
      <c r="A355" s="9" t="inlineStr">
        <is>
          <t>Checking ...0861</t>
        </is>
      </c>
      <c r="B355" s="29" t="n">
        <v>46223</v>
      </c>
      <c r="C355" s="9" t="inlineStr">
        <is>
          <t>STEVE'S FILIPINO ASIAN SALINAS CA            07/17</t>
        </is>
      </c>
      <c r="D355" s="10" t="n">
        <v>-24.31</v>
      </c>
      <c r="E355" s="9" t="inlineStr">
        <is>
          <t>DEBIT_CARD</t>
        </is>
      </c>
      <c r="F355" s="10" t="n">
        <v>1177.48</v>
      </c>
      <c r="G355" s="9" t="inlineStr">
        <is>
          <t>Groceries - Steves</t>
        </is>
      </c>
      <c r="H355">
        <f>IFERROR(INDEX(Categories!$A$5:$A$93,MATCH(G355,Categories!$B$5:$B$93,0)),"")</f>
        <v/>
      </c>
      <c r="I355" s="9" t="inlineStr">
        <is>
          <t>H</t>
        </is>
      </c>
      <c r="J355" s="9" t="inlineStr"/>
    </row>
    <row r="356">
      <c r="A356" s="9" t="inlineStr">
        <is>
          <t>Checking ...0861</t>
        </is>
      </c>
      <c r="B356" s="29" t="n">
        <v>46223</v>
      </c>
      <c r="C356" s="9" t="inlineStr">
        <is>
          <t>KLARNA*KLARNA WWW.KLARNA.CO DE               07/17</t>
        </is>
      </c>
      <c r="D356" s="10" t="n">
        <v>-24.83</v>
      </c>
      <c r="E356" s="9" t="inlineStr">
        <is>
          <t>DEBIT_CARD</t>
        </is>
      </c>
      <c r="F356" s="10" t="n">
        <v>1201.79</v>
      </c>
      <c r="G356" s="9" t="inlineStr">
        <is>
          <t>Klarna</t>
        </is>
      </c>
      <c r="H356">
        <f>IFERROR(INDEX(Categories!$A$5:$A$93,MATCH(G356,Categories!$B$5:$B$93,0)),"")</f>
        <v/>
      </c>
      <c r="I356" s="9" t="inlineStr">
        <is>
          <t>H</t>
        </is>
      </c>
      <c r="J356" s="9" t="inlineStr"/>
    </row>
    <row r="357">
      <c r="A357" s="9" t="inlineStr">
        <is>
          <t>Checking ...0861</t>
        </is>
      </c>
      <c r="B357" s="29" t="n">
        <v>46223</v>
      </c>
      <c r="C357" s="9" t="inlineStr">
        <is>
          <t>Zelle payment from KYLA MARIE TUAZON PEREZ 29678653242</t>
        </is>
      </c>
      <c r="D357" s="10" t="n">
        <v>100</v>
      </c>
      <c r="E357" s="9" t="inlineStr">
        <is>
          <t>QUICKPAY_CREDIT</t>
        </is>
      </c>
      <c r="F357" s="10" t="n">
        <v>1226.62</v>
      </c>
      <c r="G357" s="9" t="inlineStr">
        <is>
          <t>Others - Income</t>
        </is>
      </c>
      <c r="H357">
        <f>IFERROR(INDEX(Categories!$A$5:$A$93,MATCH(G357,Categories!$B$5:$B$93,0)),"")</f>
        <v/>
      </c>
      <c r="I357" s="9" t="inlineStr">
        <is>
          <t>R</t>
        </is>
      </c>
      <c r="J357" s="9" t="inlineStr">
        <is>
          <t>Zelle received - please tell me who this person is so I can map them to a category</t>
        </is>
      </c>
    </row>
    <row r="358">
      <c r="A358" s="9" t="inlineStr">
        <is>
          <t>Checking ...0861</t>
        </is>
      </c>
      <c r="B358" s="29" t="n">
        <v>46223</v>
      </c>
      <c r="C358" s="9" t="inlineStr">
        <is>
          <t>Zelle payment from ANGELYNN FLORA PNCAA0bnH49M</t>
        </is>
      </c>
      <c r="D358" s="10" t="n">
        <v>100</v>
      </c>
      <c r="E358" s="9" t="inlineStr">
        <is>
          <t>PARTNERFI_TO_CHASE</t>
        </is>
      </c>
      <c r="F358" s="10" t="n">
        <v>1126.62</v>
      </c>
      <c r="G358" s="9" t="inlineStr">
        <is>
          <t>Others - Income</t>
        </is>
      </c>
      <c r="H358">
        <f>IFERROR(INDEX(Categories!$A$5:$A$93,MATCH(G358,Categories!$B$5:$B$93,0)),"")</f>
        <v/>
      </c>
      <c r="I358" s="9" t="inlineStr">
        <is>
          <t>R</t>
        </is>
      </c>
      <c r="J358" s="9" t="inlineStr">
        <is>
          <t>Zelle received - please tell me who this person is so I can map them to a category</t>
        </is>
      </c>
    </row>
    <row r="359">
      <c r="A359" s="9" t="inlineStr">
        <is>
          <t>Checking ...0861</t>
        </is>
      </c>
      <c r="B359" s="29" t="n">
        <v>46223</v>
      </c>
      <c r="C359" s="9" t="inlineStr">
        <is>
          <t>ODP TRANSFER FROM SAVINGS ...5953</t>
        </is>
      </c>
      <c r="D359" s="10" t="n">
        <v>1026.62</v>
      </c>
      <c r="E359" s="9" t="inlineStr">
        <is>
          <t>MISC_CREDIT</t>
        </is>
      </c>
      <c r="F359" s="10" t="n">
        <v>1026.62</v>
      </c>
      <c r="G359" s="9" t="inlineStr">
        <is>
          <t>Transfer - Savings to Checking</t>
        </is>
      </c>
      <c r="H359">
        <f>IFERROR(INDEX(Categories!$A$5:$A$93,MATCH(G359,Categories!$B$5:$B$93,0)),"")</f>
        <v/>
      </c>
      <c r="I359" s="9" t="inlineStr">
        <is>
          <t>H</t>
        </is>
      </c>
      <c r="J359" s="9" t="inlineStr">
        <is>
          <t>Overdraft-protection auto-pull from savings</t>
        </is>
      </c>
    </row>
    <row r="360">
      <c r="A360" s="9" t="inlineStr">
        <is>
          <t>Checking ...0861</t>
        </is>
      </c>
      <c r="B360" s="29" t="n">
        <v>46220</v>
      </c>
      <c r="C360" s="9" t="inlineStr">
        <is>
          <t>PAYPAL           PURCHASE   TIKTOK SHOP     WEB ID: PAYPALSI77</t>
        </is>
      </c>
      <c r="D360" s="10" t="n">
        <v>-5.4</v>
      </c>
      <c r="E360" s="9" t="inlineStr">
        <is>
          <t>ACH_DEBIT</t>
        </is>
      </c>
      <c r="F360" s="10" t="n">
        <v>0</v>
      </c>
      <c r="G360" s="9" t="inlineStr">
        <is>
          <t>paypal tiktok</t>
        </is>
      </c>
      <c r="H360">
        <f>IFERROR(INDEX(Categories!$A$5:$A$93,MATCH(G360,Categories!$B$5:$B$93,0)),"")</f>
        <v/>
      </c>
      <c r="I360" s="9" t="inlineStr">
        <is>
          <t>H</t>
        </is>
      </c>
      <c r="J360" s="9" t="inlineStr"/>
    </row>
    <row r="361">
      <c r="A361" s="9" t="inlineStr">
        <is>
          <t>Checking ...0861</t>
        </is>
      </c>
      <c r="B361" s="29" t="n">
        <v>46220</v>
      </c>
      <c r="C361" s="9" t="inlineStr">
        <is>
          <t>PAYPAL           PURCHASE   TIKTOK SHOP     WEB ID: PAYPALSI77</t>
        </is>
      </c>
      <c r="D361" s="10" t="n">
        <v>-13.42</v>
      </c>
      <c r="E361" s="9" t="inlineStr">
        <is>
          <t>ACH_DEBIT</t>
        </is>
      </c>
      <c r="F361" s="10" t="n">
        <v>5.4</v>
      </c>
      <c r="G361" s="9" t="inlineStr">
        <is>
          <t>paypal tiktok</t>
        </is>
      </c>
      <c r="H361">
        <f>IFERROR(INDEX(Categories!$A$5:$A$93,MATCH(G361,Categories!$B$5:$B$93,0)),"")</f>
        <v/>
      </c>
      <c r="I361" s="9" t="inlineStr">
        <is>
          <t>H</t>
        </is>
      </c>
      <c r="J361" s="9" t="inlineStr"/>
    </row>
    <row r="362">
      <c r="A362" s="9" t="inlineStr">
        <is>
          <t>Checking ...0861</t>
        </is>
      </c>
      <c r="B362" s="29" t="n">
        <v>46220</v>
      </c>
      <c r="C362" s="9" t="inlineStr">
        <is>
          <t>PAYPAL           PURCHASE   TIKTOK SHOP     WEB ID: PAYPALSI77</t>
        </is>
      </c>
      <c r="D362" s="10" t="n">
        <v>-16.1</v>
      </c>
      <c r="E362" s="9" t="inlineStr">
        <is>
          <t>ACH_DEBIT</t>
        </is>
      </c>
      <c r="F362" s="10" t="n">
        <v>18.82</v>
      </c>
      <c r="G362" s="9" t="inlineStr">
        <is>
          <t>paypal tiktok</t>
        </is>
      </c>
      <c r="H362">
        <f>IFERROR(INDEX(Categories!$A$5:$A$93,MATCH(G362,Categories!$B$5:$B$93,0)),"")</f>
        <v/>
      </c>
      <c r="I362" s="9" t="inlineStr">
        <is>
          <t>H</t>
        </is>
      </c>
      <c r="J362" s="9" t="inlineStr"/>
    </row>
    <row r="363">
      <c r="A363" s="9" t="inlineStr">
        <is>
          <t>Checking ...0861</t>
        </is>
      </c>
      <c r="B363" s="29" t="n">
        <v>46220</v>
      </c>
      <c r="C363" s="9" t="inlineStr">
        <is>
          <t>PAYPAL           PURCHASE   TIKTOK SHOP     WEB ID: PAYPALSI77</t>
        </is>
      </c>
      <c r="D363" s="10" t="n">
        <v>-35.36</v>
      </c>
      <c r="E363" s="9" t="inlineStr">
        <is>
          <t>ACH_DEBIT</t>
        </is>
      </c>
      <c r="F363" s="10" t="n">
        <v>34.92</v>
      </c>
      <c r="G363" s="9" t="inlineStr">
        <is>
          <t>paypal tiktok</t>
        </is>
      </c>
      <c r="H363">
        <f>IFERROR(INDEX(Categories!$A$5:$A$93,MATCH(G363,Categories!$B$5:$B$93,0)),"")</f>
        <v/>
      </c>
      <c r="I363" s="9" t="inlineStr">
        <is>
          <t>H</t>
        </is>
      </c>
      <c r="J363" s="9" t="inlineStr"/>
    </row>
    <row r="364">
      <c r="A364" s="9" t="inlineStr">
        <is>
          <t>Checking ...0861</t>
        </is>
      </c>
      <c r="B364" s="29" t="n">
        <v>46220</v>
      </c>
      <c r="C364" s="9" t="inlineStr">
        <is>
          <t>PAYPAL           PURCHASE   GOOGLE STRAVA I WEB ID: PAYPALSI77</t>
        </is>
      </c>
      <c r="D364" s="10" t="n">
        <v>-79.98999999999999</v>
      </c>
      <c r="E364" s="9" t="inlineStr">
        <is>
          <t>ACH_DEBIT</t>
        </is>
      </c>
      <c r="F364" s="10" t="n">
        <v>70.28</v>
      </c>
      <c r="G364" s="9" t="inlineStr">
        <is>
          <t>Others</t>
        </is>
      </c>
      <c r="H364">
        <f>IFERROR(INDEX(Categories!$A$5:$A$93,MATCH(G364,Categories!$B$5:$B$93,0)),"")</f>
        <v/>
      </c>
      <c r="I364" s="9" t="inlineStr">
        <is>
          <t>R</t>
        </is>
      </c>
      <c r="J364" s="9" t="inlineStr">
        <is>
          <t>Subscription/purchase via PayPal (Apple, Etsy, Google apps, Lyft, AARP, etc.) - no matching category</t>
        </is>
      </c>
    </row>
    <row r="365">
      <c r="A365" s="9" t="inlineStr">
        <is>
          <t>Checking ...0861</t>
        </is>
      </c>
      <c r="B365" s="29" t="n">
        <v>46220</v>
      </c>
      <c r="C365" s="9" t="inlineStr">
        <is>
          <t>PAYPAL           TRANSFER   ADD TO BALANCE  WEB ID: PAYPALSD22</t>
        </is>
      </c>
      <c r="D365" s="10" t="n">
        <v>-50</v>
      </c>
      <c r="E365" s="9" t="inlineStr">
        <is>
          <t>ACH_DEBIT</t>
        </is>
      </c>
      <c r="F365" s="10" t="n">
        <v>150.27</v>
      </c>
      <c r="G365" s="9" t="inlineStr">
        <is>
          <t>Transfer - Checking to PayPal</t>
        </is>
      </c>
      <c r="H365">
        <f>IFERROR(INDEX(Categories!$A$5:$A$93,MATCH(G365,Categories!$B$5:$B$93,0)),"")</f>
        <v/>
      </c>
      <c r="I365" s="9" t="inlineStr">
        <is>
          <t>H</t>
        </is>
      </c>
      <c r="J365" s="9" t="inlineStr"/>
    </row>
    <row r="366">
      <c r="A366" s="9" t="inlineStr">
        <is>
          <t>Checking ...0861</t>
        </is>
      </c>
      <c r="B366" s="29" t="n">
        <v>46220</v>
      </c>
      <c r="C366" s="9" t="inlineStr">
        <is>
          <t>PLANET FITNESS S IClub Fees                 PPD ID: G710602737</t>
        </is>
      </c>
      <c r="D366" s="10" t="n">
        <v>-24.99</v>
      </c>
      <c r="E366" s="9" t="inlineStr">
        <is>
          <t>ACH_DEBIT</t>
        </is>
      </c>
      <c r="F366" s="10" t="n">
        <v>200.27</v>
      </c>
      <c r="G366" s="9" t="inlineStr">
        <is>
          <t>Planet Fitness</t>
        </is>
      </c>
      <c r="H366">
        <f>IFERROR(INDEX(Categories!$A$5:$A$93,MATCH(G366,Categories!$B$5:$B$93,0)),"")</f>
        <v/>
      </c>
      <c r="I366" s="9" t="inlineStr">
        <is>
          <t>H</t>
        </is>
      </c>
      <c r="J366" s="9" t="inlineStr"/>
    </row>
    <row r="367">
      <c r="A367" s="9" t="inlineStr">
        <is>
          <t>Checking ...0861</t>
        </is>
      </c>
      <c r="B367" s="29" t="n">
        <v>46220</v>
      </c>
      <c r="C367" s="9" t="inlineStr">
        <is>
          <t>WM SUPERCENTER #5751 SALINAS CA              07/16</t>
        </is>
      </c>
      <c r="D367" s="10" t="n">
        <v>-82.93000000000001</v>
      </c>
      <c r="E367" s="9" t="inlineStr">
        <is>
          <t>DEBIT_CARD</t>
        </is>
      </c>
      <c r="F367" s="10" t="n">
        <v>225.26</v>
      </c>
      <c r="G367" s="9" t="inlineStr">
        <is>
          <t>Groceries - Walmart</t>
        </is>
      </c>
      <c r="H367">
        <f>IFERROR(INDEX(Categories!$A$5:$A$93,MATCH(G367,Categories!$B$5:$B$93,0)),"")</f>
        <v/>
      </c>
      <c r="I367" s="9" t="inlineStr">
        <is>
          <t>H</t>
        </is>
      </c>
      <c r="J367" s="9" t="inlineStr"/>
    </row>
    <row r="368">
      <c r="A368" s="9" t="inlineStr">
        <is>
          <t>Checking ...0861</t>
        </is>
      </c>
      <c r="B368" s="29" t="n">
        <v>46220</v>
      </c>
      <c r="C368" s="9" t="inlineStr">
        <is>
          <t>SALINAS HONDA SALINAS CA                     07/16</t>
        </is>
      </c>
      <c r="D368" s="10" t="n">
        <v>-105.18</v>
      </c>
      <c r="E368" s="9" t="inlineStr">
        <is>
          <t>DEBIT_CARD</t>
        </is>
      </c>
      <c r="F368" s="10" t="n">
        <v>308.19</v>
      </c>
      <c r="G368" s="9" t="inlineStr">
        <is>
          <t>For Car</t>
        </is>
      </c>
      <c r="H368">
        <f>IFERROR(INDEX(Categories!$A$5:$A$93,MATCH(G368,Categories!$B$5:$B$93,0)),"")</f>
        <v/>
      </c>
      <c r="I368" s="9" t="inlineStr">
        <is>
          <t>D</t>
        </is>
      </c>
      <c r="J368" s="9" t="inlineStr">
        <is>
          <t>One-off Honda dealer charge (service/parts), not the loan</t>
        </is>
      </c>
    </row>
    <row r="369">
      <c r="A369" s="9" t="inlineStr">
        <is>
          <t>Checking ...0861</t>
        </is>
      </c>
      <c r="B369" s="29" t="n">
        <v>46220</v>
      </c>
      <c r="C369" s="9" t="inlineStr">
        <is>
          <t>Zelle payment from Alvin Anthony Alonzo USA0EF6JARP9</t>
        </is>
      </c>
      <c r="D369" s="10" t="n">
        <v>100</v>
      </c>
      <c r="E369" s="9" t="inlineStr">
        <is>
          <t>PARTNERFI_TO_CHASE</t>
        </is>
      </c>
      <c r="F369" s="10" t="n">
        <v>413.37</v>
      </c>
      <c r="G369" s="9" t="inlineStr">
        <is>
          <t>Others - Income</t>
        </is>
      </c>
      <c r="H369">
        <f>IFERROR(INDEX(Categories!$A$5:$A$93,MATCH(G369,Categories!$B$5:$B$93,0)),"")</f>
        <v/>
      </c>
      <c r="I369" s="9" t="inlineStr">
        <is>
          <t>R</t>
        </is>
      </c>
      <c r="J369" s="9" t="inlineStr">
        <is>
          <t>Zelle received - please tell me who this person is so I can map them to a category</t>
        </is>
      </c>
    </row>
    <row r="370">
      <c r="A370" s="9" t="inlineStr">
        <is>
          <t>Checking ...0861</t>
        </is>
      </c>
      <c r="B370" s="29" t="n">
        <v>46220</v>
      </c>
      <c r="C370" s="9" t="inlineStr">
        <is>
          <t>ODP TRANSFER FROM SAVINGS ...5953</t>
        </is>
      </c>
      <c r="D370" s="10" t="n">
        <v>313.37</v>
      </c>
      <c r="E370" s="9" t="inlineStr">
        <is>
          <t>MISC_CREDIT</t>
        </is>
      </c>
      <c r="F370" s="10" t="n">
        <v>313.37</v>
      </c>
      <c r="G370" s="9" t="inlineStr">
        <is>
          <t>Transfer - Savings to Checking</t>
        </is>
      </c>
      <c r="H370">
        <f>IFERROR(INDEX(Categories!$A$5:$A$93,MATCH(G370,Categories!$B$5:$B$93,0)),"")</f>
        <v/>
      </c>
      <c r="I370" s="9" t="inlineStr">
        <is>
          <t>H</t>
        </is>
      </c>
      <c r="J370" s="9" t="inlineStr">
        <is>
          <t>Overdraft-protection auto-pull from savings</t>
        </is>
      </c>
    </row>
    <row r="371">
      <c r="A371" s="9" t="inlineStr">
        <is>
          <t>Checking ...0861</t>
        </is>
      </c>
      <c r="B371" s="29" t="n">
        <v>46219</v>
      </c>
      <c r="C371" s="9" t="inlineStr">
        <is>
          <t>AFFIRM.COM PAYME AFFIRM.COM ST-U5W0L1V0U0G2 WEB ID: 4270465600</t>
        </is>
      </c>
      <c r="D371" s="10" t="n">
        <v>-287.25</v>
      </c>
      <c r="E371" s="9" t="inlineStr">
        <is>
          <t>ACH_DEBIT</t>
        </is>
      </c>
      <c r="F371" s="10" t="n">
        <v>0</v>
      </c>
      <c r="G371" s="9" t="inlineStr">
        <is>
          <t>Affirm</t>
        </is>
      </c>
      <c r="H371">
        <f>IFERROR(INDEX(Categories!$A$5:$A$93,MATCH(G371,Categories!$B$5:$B$93,0)),"")</f>
        <v/>
      </c>
      <c r="I371" s="9" t="inlineStr">
        <is>
          <t>H</t>
        </is>
      </c>
      <c r="J371" s="9" t="inlineStr"/>
    </row>
    <row r="372">
      <c r="A372" s="9" t="inlineStr">
        <is>
          <t>Checking ...0861</t>
        </is>
      </c>
      <c r="B372" s="29" t="n">
        <v>46219</v>
      </c>
      <c r="C372" s="9" t="inlineStr">
        <is>
          <t>SQ *PANADERIA TRES HERM Salinas CA           07/15</t>
        </is>
      </c>
      <c r="D372" s="10" t="n">
        <v>-13.5</v>
      </c>
      <c r="E372" s="9" t="inlineStr">
        <is>
          <t>DEBIT_CARD</t>
        </is>
      </c>
      <c r="F372" s="10" t="n">
        <v>287.25</v>
      </c>
      <c r="G372" s="9" t="inlineStr">
        <is>
          <t>Food - Eat Out</t>
        </is>
      </c>
      <c r="H372">
        <f>IFERROR(INDEX(Categories!$A$5:$A$93,MATCH(G372,Categories!$B$5:$B$93,0)),"")</f>
        <v/>
      </c>
      <c r="I372" s="9" t="inlineStr">
        <is>
          <t>D</t>
        </is>
      </c>
      <c r="J372" s="9" t="inlineStr"/>
    </row>
    <row r="373">
      <c r="A373" s="9" t="inlineStr">
        <is>
          <t>Checking ...0861</t>
        </is>
      </c>
      <c r="B373" s="29" t="n">
        <v>46219</v>
      </c>
      <c r="C373" s="9" t="inlineStr">
        <is>
          <t>CVS/PHARMACY #09186 SALINAS CA               07/15</t>
        </is>
      </c>
      <c r="D373" s="10" t="n">
        <v>-21.79</v>
      </c>
      <c r="E373" s="9" t="inlineStr">
        <is>
          <t>DEBIT_CARD</t>
        </is>
      </c>
      <c r="F373" s="10" t="n">
        <v>300.75</v>
      </c>
      <c r="G373" s="9" t="inlineStr">
        <is>
          <t>CVS</t>
        </is>
      </c>
      <c r="H373">
        <f>IFERROR(INDEX(Categories!$A$5:$A$93,MATCH(G373,Categories!$B$5:$B$93,0)),"")</f>
        <v/>
      </c>
      <c r="I373" s="9" t="inlineStr">
        <is>
          <t>H</t>
        </is>
      </c>
      <c r="J373" s="9" t="inlineStr"/>
    </row>
    <row r="374">
      <c r="A374" s="9" t="inlineStr">
        <is>
          <t>Checking ...0861</t>
        </is>
      </c>
      <c r="B374" s="29" t="n">
        <v>46219</v>
      </c>
      <c r="C374" s="9" t="inlineStr">
        <is>
          <t>Chua Tinsay  Vega AP San Francisco CA        07/16</t>
        </is>
      </c>
      <c r="D374" s="10" t="n">
        <v>-200</v>
      </c>
      <c r="E374" s="9" t="inlineStr">
        <is>
          <t>DEBIT_CARD</t>
        </is>
      </c>
      <c r="F374" s="10" t="n">
        <v>322.54</v>
      </c>
      <c r="G374" s="9" t="inlineStr">
        <is>
          <t>Atty Chua</t>
        </is>
      </c>
      <c r="H374">
        <f>IFERROR(INDEX(Categories!$A$5:$A$93,MATCH(G374,Categories!$B$5:$B$93,0)),"")</f>
        <v/>
      </c>
      <c r="I374" s="9" t="inlineStr">
        <is>
          <t>H</t>
        </is>
      </c>
      <c r="J374" s="9" t="inlineStr"/>
    </row>
    <row r="375">
      <c r="A375" s="9" t="inlineStr">
        <is>
          <t>Checking ...0861</t>
        </is>
      </c>
      <c r="B375" s="29" t="n">
        <v>46219</v>
      </c>
      <c r="C375" s="9" t="inlineStr">
        <is>
          <t>WINGSTOP 2088 650-019-7954 CA                07/15</t>
        </is>
      </c>
      <c r="D375" s="10" t="n">
        <v>-60.32</v>
      </c>
      <c r="E375" s="9" t="inlineStr">
        <is>
          <t>DEBIT_CARD</t>
        </is>
      </c>
      <c r="F375" s="10" t="n">
        <v>522.54</v>
      </c>
      <c r="G375" s="9" t="inlineStr">
        <is>
          <t>Food - Eat Out</t>
        </is>
      </c>
      <c r="H375">
        <f>IFERROR(INDEX(Categories!$A$5:$A$93,MATCH(G375,Categories!$B$5:$B$93,0)),"")</f>
        <v/>
      </c>
      <c r="I375" s="9" t="inlineStr">
        <is>
          <t>D</t>
        </is>
      </c>
      <c r="J375" s="9" t="inlineStr">
        <is>
          <t>Restaurant/fast-food - defaulted to Eat Out; move to Food - Ailynn/Chris/Misc if you know whose order it was</t>
        </is>
      </c>
    </row>
    <row r="376">
      <c r="A376" s="9" t="inlineStr">
        <is>
          <t>Checking ...0861</t>
        </is>
      </c>
      <c r="B376" s="29" t="n">
        <v>46219</v>
      </c>
      <c r="C376" s="9" t="inlineStr">
        <is>
          <t>Zelle payment from RHIAN ABIGAIL ALMO 30031216025</t>
        </is>
      </c>
      <c r="D376" s="10" t="n">
        <v>60</v>
      </c>
      <c r="E376" s="9" t="inlineStr">
        <is>
          <t>QUICKPAY_CREDIT</t>
        </is>
      </c>
      <c r="F376" s="10" t="n">
        <v>582.86</v>
      </c>
      <c r="G376" s="9" t="inlineStr">
        <is>
          <t>Others - Income</t>
        </is>
      </c>
      <c r="H376">
        <f>IFERROR(INDEX(Categories!$A$5:$A$93,MATCH(G376,Categories!$B$5:$B$93,0)),"")</f>
        <v/>
      </c>
      <c r="I376" s="9" t="inlineStr">
        <is>
          <t>R</t>
        </is>
      </c>
      <c r="J376" s="9" t="inlineStr">
        <is>
          <t>Zelle received - please tell me who this person is so I can map them to a category</t>
        </is>
      </c>
    </row>
    <row r="377">
      <c r="A377" s="9" t="inlineStr">
        <is>
          <t>Checking ...0861</t>
        </is>
      </c>
      <c r="B377" s="29" t="n">
        <v>46219</v>
      </c>
      <c r="C377" s="9" t="inlineStr">
        <is>
          <t>ODP TRANSFER FROM SAVINGS ...5953</t>
        </is>
      </c>
      <c r="D377" s="10" t="n">
        <v>522.86</v>
      </c>
      <c r="E377" s="9" t="inlineStr">
        <is>
          <t>MISC_CREDIT</t>
        </is>
      </c>
      <c r="F377" s="10" t="n">
        <v>522.86</v>
      </c>
      <c r="G377" s="9" t="inlineStr">
        <is>
          <t>Transfer - Savings to Checking</t>
        </is>
      </c>
      <c r="H377">
        <f>IFERROR(INDEX(Categories!$A$5:$A$93,MATCH(G377,Categories!$B$5:$B$93,0)),"")</f>
        <v/>
      </c>
      <c r="I377" s="9" t="inlineStr">
        <is>
          <t>H</t>
        </is>
      </c>
      <c r="J377" s="9" t="inlineStr">
        <is>
          <t>Overdraft-protection auto-pull from savings</t>
        </is>
      </c>
    </row>
    <row r="378">
      <c r="A378" s="9" t="inlineStr">
        <is>
          <t>Checking ...0861</t>
        </is>
      </c>
      <c r="B378" s="29" t="n">
        <v>46218</v>
      </c>
      <c r="C378" s="9" t="inlineStr">
        <is>
          <t>THE HARTFORD     INSPMTA    91402777        TEL ID: 900653231</t>
        </is>
      </c>
      <c r="D378" s="10" t="n">
        <v>-472.63</v>
      </c>
      <c r="E378" s="9" t="inlineStr">
        <is>
          <t>ACH_DEBIT</t>
        </is>
      </c>
      <c r="F378" s="10" t="n">
        <v>0</v>
      </c>
      <c r="G378" s="9" t="inlineStr">
        <is>
          <t>Insurance</t>
        </is>
      </c>
      <c r="H378">
        <f>IFERROR(INDEX(Categories!$A$5:$A$93,MATCH(G378,Categories!$B$5:$B$93,0)),"")</f>
        <v/>
      </c>
      <c r="I378" s="9" t="inlineStr">
        <is>
          <t>H</t>
        </is>
      </c>
      <c r="J378" s="9" t="inlineStr"/>
    </row>
    <row r="379">
      <c r="A379" s="9" t="inlineStr">
        <is>
          <t>Checking ...0861</t>
        </is>
      </c>
      <c r="B379" s="29" t="n">
        <v>46218</v>
      </c>
      <c r="C379" s="9" t="inlineStr">
        <is>
          <t>MONTEREY DNTWN GARAGES 8316463953 CA         07/14</t>
        </is>
      </c>
      <c r="D379" s="10" t="n">
        <v>-1</v>
      </c>
      <c r="E379" s="9" t="inlineStr">
        <is>
          <t>DEBIT_CARD</t>
        </is>
      </c>
      <c r="F379" s="10" t="n">
        <v>472.63</v>
      </c>
      <c r="G379" s="9" t="inlineStr">
        <is>
          <t>For Car</t>
        </is>
      </c>
      <c r="H379">
        <f>IFERROR(INDEX(Categories!$A$5:$A$93,MATCH(G379,Categories!$B$5:$B$93,0)),"")</f>
        <v/>
      </c>
      <c r="I379" s="9" t="inlineStr">
        <is>
          <t>D</t>
        </is>
      </c>
      <c r="J379" s="9" t="inlineStr">
        <is>
          <t>Parking charge, defaulted to For Car</t>
        </is>
      </c>
    </row>
    <row r="380">
      <c r="A380" s="9" t="inlineStr">
        <is>
          <t>Checking ...0861</t>
        </is>
      </c>
      <c r="B380" s="29" t="n">
        <v>46218</v>
      </c>
      <c r="C380" s="9" t="inlineStr">
        <is>
          <t>SQ *NICK THE GREEK Seaside CA                07/14</t>
        </is>
      </c>
      <c r="D380" s="10" t="n">
        <v>-53.47</v>
      </c>
      <c r="E380" s="9" t="inlineStr">
        <is>
          <t>DEBIT_CARD</t>
        </is>
      </c>
      <c r="F380" s="10" t="n">
        <v>473.63</v>
      </c>
      <c r="G380" s="9" t="inlineStr">
        <is>
          <t>Food - Eat Out</t>
        </is>
      </c>
      <c r="H380">
        <f>IFERROR(INDEX(Categories!$A$5:$A$93,MATCH(G380,Categories!$B$5:$B$93,0)),"")</f>
        <v/>
      </c>
      <c r="I380" s="9" t="inlineStr">
        <is>
          <t>D</t>
        </is>
      </c>
      <c r="J380" s="9" t="inlineStr"/>
    </row>
    <row r="381">
      <c r="A381" s="9" t="inlineStr">
        <is>
          <t>Checking ...0861</t>
        </is>
      </c>
      <c r="B381" s="29" t="n">
        <v>46218</v>
      </c>
      <c r="C381" s="9" t="inlineStr">
        <is>
          <t>Primo Water Corporatio Vista CA              07/14</t>
        </is>
      </c>
      <c r="D381" s="10" t="n">
        <v>-3.1</v>
      </c>
      <c r="E381" s="9" t="inlineStr">
        <is>
          <t>DEBIT_CARD</t>
        </is>
      </c>
      <c r="F381" s="10" t="n">
        <v>527.1</v>
      </c>
      <c r="G381" s="9" t="inlineStr">
        <is>
          <t>Water</t>
        </is>
      </c>
      <c r="H381">
        <f>IFERROR(INDEX(Categories!$A$5:$A$93,MATCH(G381,Categories!$B$5:$B$93,0)),"")</f>
        <v/>
      </c>
      <c r="I381" s="9" t="inlineStr">
        <is>
          <t>H</t>
        </is>
      </c>
      <c r="J381" s="9" t="inlineStr"/>
    </row>
    <row r="382">
      <c r="A382" s="9" t="inlineStr">
        <is>
          <t>Checking ...0861</t>
        </is>
      </c>
      <c r="B382" s="29" t="n">
        <v>46218</v>
      </c>
      <c r="C382" s="9" t="inlineStr">
        <is>
          <t>ODP TRANSFER FROM SAVINGS ...5953</t>
        </is>
      </c>
      <c r="D382" s="10" t="n">
        <v>530.2</v>
      </c>
      <c r="E382" s="9" t="inlineStr">
        <is>
          <t>MISC_CREDIT</t>
        </is>
      </c>
      <c r="F382" s="10" t="n">
        <v>530.2</v>
      </c>
      <c r="G382" s="9" t="inlineStr">
        <is>
          <t>Transfer - Savings to Checking</t>
        </is>
      </c>
      <c r="H382">
        <f>IFERROR(INDEX(Categories!$A$5:$A$93,MATCH(G382,Categories!$B$5:$B$93,0)),"")</f>
        <v/>
      </c>
      <c r="I382" s="9" t="inlineStr">
        <is>
          <t>H</t>
        </is>
      </c>
      <c r="J382" s="9" t="inlineStr">
        <is>
          <t>Overdraft-protection auto-pull from savings</t>
        </is>
      </c>
    </row>
    <row r="383">
      <c r="A383" s="9" t="inlineStr">
        <is>
          <t>Checking ...0861</t>
        </is>
      </c>
      <c r="B383" s="29" t="n">
        <v>46217</v>
      </c>
      <c r="C383" s="9" t="inlineStr">
        <is>
          <t>SALINAS SINCLAI SALINAS CA                   07/14</t>
        </is>
      </c>
      <c r="D383" s="10" t="n">
        <v>-75.05</v>
      </c>
      <c r="E383" s="9" t="inlineStr">
        <is>
          <t>DEBIT_CARD</t>
        </is>
      </c>
      <c r="F383" s="10" t="n">
        <v>0</v>
      </c>
      <c r="G383" s="9" t="inlineStr">
        <is>
          <t>Gas</t>
        </is>
      </c>
      <c r="H383">
        <f>IFERROR(INDEX(Categories!$A$5:$A$93,MATCH(G383,Categories!$B$5:$B$93,0)),"")</f>
        <v/>
      </c>
      <c r="I383" s="9" t="inlineStr">
        <is>
          <t>D</t>
        </is>
      </c>
      <c r="J383" s="9" t="inlineStr"/>
    </row>
    <row r="384">
      <c r="A384" s="9" t="inlineStr">
        <is>
          <t>Checking ...0861</t>
        </is>
      </c>
      <c r="B384" s="29" t="n">
        <v>46217</v>
      </c>
      <c r="C384" s="9" t="inlineStr">
        <is>
          <t>CITIZENS PAY     LINE OF CR 043000098712338 WEB ID: 9044036180</t>
        </is>
      </c>
      <c r="D384" s="10" t="n">
        <v>-1548.76</v>
      </c>
      <c r="E384" s="9" t="inlineStr">
        <is>
          <t>ACH_DEBIT</t>
        </is>
      </c>
      <c r="F384" s="10" t="n">
        <v>75.05</v>
      </c>
      <c r="G384" s="9" t="inlineStr">
        <is>
          <t>CC - Citizen bank</t>
        </is>
      </c>
      <c r="H384">
        <f>IFERROR(INDEX(Categories!$A$5:$A$93,MATCH(G384,Categories!$B$5:$B$93,0)),"")</f>
        <v/>
      </c>
      <c r="I384" s="9" t="inlineStr">
        <is>
          <t>H</t>
        </is>
      </c>
      <c r="J384" s="9" t="inlineStr"/>
    </row>
    <row r="385">
      <c r="A385" s="9" t="inlineStr">
        <is>
          <t>Checking ...0861</t>
        </is>
      </c>
      <c r="B385" s="29" t="n">
        <v>46217</v>
      </c>
      <c r="C385" s="9" t="inlineStr">
        <is>
          <t>Credit One Bank  Payment    46787452        WEB ID: WEB000004</t>
        </is>
      </c>
      <c r="D385" s="10" t="n">
        <v>-24.94</v>
      </c>
      <c r="E385" s="9" t="inlineStr">
        <is>
          <t>ACH_DEBIT</t>
        </is>
      </c>
      <c r="F385" s="10" t="n">
        <v>1623.81</v>
      </c>
      <c r="G385" s="9" t="inlineStr">
        <is>
          <t>CC - Credit 1</t>
        </is>
      </c>
      <c r="H385">
        <f>IFERROR(INDEX(Categories!$A$5:$A$93,MATCH(G385,Categories!$B$5:$B$93,0)),"")</f>
        <v/>
      </c>
      <c r="I385" s="9" t="inlineStr">
        <is>
          <t>H</t>
        </is>
      </c>
      <c r="J385" s="9" t="inlineStr"/>
    </row>
    <row r="386">
      <c r="A386" s="9" t="inlineStr">
        <is>
          <t>Checking ...0861</t>
        </is>
      </c>
      <c r="B386" s="29" t="n">
        <v>46217</v>
      </c>
      <c r="C386" s="9" t="inlineStr">
        <is>
          <t>AFFIRM.COM PAYME AFFIRM.COM ST-K9R1M8Q0W5F3 WEB ID: 4270465600</t>
        </is>
      </c>
      <c r="D386" s="10" t="n">
        <v>-38.21</v>
      </c>
      <c r="E386" s="9" t="inlineStr">
        <is>
          <t>ACH_DEBIT</t>
        </is>
      </c>
      <c r="F386" s="10" t="n">
        <v>1648.75</v>
      </c>
      <c r="G386" s="9" t="inlineStr">
        <is>
          <t>Affirm</t>
        </is>
      </c>
      <c r="H386">
        <f>IFERROR(INDEX(Categories!$A$5:$A$93,MATCH(G386,Categories!$B$5:$B$93,0)),"")</f>
        <v/>
      </c>
      <c r="I386" s="9" t="inlineStr">
        <is>
          <t>H</t>
        </is>
      </c>
      <c r="J386" s="9" t="inlineStr"/>
    </row>
    <row r="387">
      <c r="A387" s="9" t="inlineStr">
        <is>
          <t>Checking ...0861</t>
        </is>
      </c>
      <c r="B387" s="29" t="n">
        <v>46217</v>
      </c>
      <c r="C387" s="9" t="inlineStr">
        <is>
          <t>Credit One Bank  Payment    54888125        WEB ID: WEB000004</t>
        </is>
      </c>
      <c r="D387" s="10" t="n">
        <v>-99.81999999999999</v>
      </c>
      <c r="E387" s="9" t="inlineStr">
        <is>
          <t>ACH_DEBIT</t>
        </is>
      </c>
      <c r="F387" s="10" t="n">
        <v>1686.96</v>
      </c>
      <c r="G387" s="9" t="inlineStr">
        <is>
          <t>CC - Credit 1</t>
        </is>
      </c>
      <c r="H387">
        <f>IFERROR(INDEX(Categories!$A$5:$A$93,MATCH(G387,Categories!$B$5:$B$93,0)),"")</f>
        <v/>
      </c>
      <c r="I387" s="9" t="inlineStr">
        <is>
          <t>H</t>
        </is>
      </c>
      <c r="J387" s="9" t="inlineStr"/>
    </row>
    <row r="388">
      <c r="A388" s="9" t="inlineStr">
        <is>
          <t>Checking ...0861</t>
        </is>
      </c>
      <c r="B388" s="29" t="n">
        <v>46217</v>
      </c>
      <c r="C388" s="9" t="inlineStr">
        <is>
          <t>WHATNOT WHATNOT.COM CA                       07/14</t>
        </is>
      </c>
      <c r="D388" s="10" t="n">
        <v>-25.48</v>
      </c>
      <c r="E388" s="9" t="inlineStr">
        <is>
          <t>DEBIT_CARD</t>
        </is>
      </c>
      <c r="F388" s="10" t="n">
        <v>1786.78</v>
      </c>
      <c r="G388" s="9" t="inlineStr">
        <is>
          <t>Shop - Whatnot</t>
        </is>
      </c>
      <c r="H388">
        <f>IFERROR(INDEX(Categories!$A$5:$A$93,MATCH(G388,Categories!$B$5:$B$93,0)),"")</f>
        <v/>
      </c>
      <c r="I388" s="9" t="inlineStr">
        <is>
          <t>H</t>
        </is>
      </c>
      <c r="J388" s="9" t="inlineStr"/>
    </row>
    <row r="389">
      <c r="A389" s="9" t="inlineStr">
        <is>
          <t>Checking ...0861</t>
        </is>
      </c>
      <c r="B389" s="29" t="n">
        <v>46217</v>
      </c>
      <c r="C389" s="9" t="inlineStr">
        <is>
          <t>WHATNOT WHATNOT.COM CA                       07/14</t>
        </is>
      </c>
      <c r="D389" s="10" t="n">
        <v>-27.93</v>
      </c>
      <c r="E389" s="9" t="inlineStr">
        <is>
          <t>DEBIT_CARD</t>
        </is>
      </c>
      <c r="F389" s="10" t="n">
        <v>1812.26</v>
      </c>
      <c r="G389" s="9" t="inlineStr">
        <is>
          <t>Shop - Whatnot</t>
        </is>
      </c>
      <c r="H389">
        <f>IFERROR(INDEX(Categories!$A$5:$A$93,MATCH(G389,Categories!$B$5:$B$93,0)),"")</f>
        <v/>
      </c>
      <c r="I389" s="9" t="inlineStr">
        <is>
          <t>H</t>
        </is>
      </c>
      <c r="J389" s="9" t="inlineStr"/>
    </row>
    <row r="390">
      <c r="A390" s="9" t="inlineStr">
        <is>
          <t>Checking ...0861</t>
        </is>
      </c>
      <c r="B390" s="29" t="n">
        <v>46217</v>
      </c>
      <c r="C390" s="9" t="inlineStr">
        <is>
          <t>Klarna*TikTok Shop Columbus OH               07/13</t>
        </is>
      </c>
      <c r="D390" s="10" t="n">
        <v>-7.33</v>
      </c>
      <c r="E390" s="9" t="inlineStr">
        <is>
          <t>DEBIT_CARD</t>
        </is>
      </c>
      <c r="F390" s="10" t="n">
        <v>1840.19</v>
      </c>
      <c r="G390" s="9" t="inlineStr">
        <is>
          <t>Klarna</t>
        </is>
      </c>
      <c r="H390">
        <f>IFERROR(INDEX(Categories!$A$5:$A$93,MATCH(G390,Categories!$B$5:$B$93,0)),"")</f>
        <v/>
      </c>
      <c r="I390" s="9" t="inlineStr">
        <is>
          <t>H</t>
        </is>
      </c>
      <c r="J390" s="9" t="inlineStr"/>
    </row>
    <row r="391">
      <c r="A391" s="9" t="inlineStr">
        <is>
          <t>Checking ...0861</t>
        </is>
      </c>
      <c r="B391" s="29" t="n">
        <v>46217</v>
      </c>
      <c r="C391" s="9" t="inlineStr">
        <is>
          <t>ODP TRANSFER FROM SAVINGS ...5953</t>
        </is>
      </c>
      <c r="D391" s="10" t="n">
        <v>1443.43</v>
      </c>
      <c r="E391" s="9" t="inlineStr">
        <is>
          <t>MISC_CREDIT</t>
        </is>
      </c>
      <c r="F391" s="10" t="n">
        <v>1847.52</v>
      </c>
      <c r="G391" s="9" t="inlineStr">
        <is>
          <t>Transfer - Savings to Checking</t>
        </is>
      </c>
      <c r="H391">
        <f>IFERROR(INDEX(Categories!$A$5:$A$93,MATCH(G391,Categories!$B$5:$B$93,0)),"")</f>
        <v/>
      </c>
      <c r="I391" s="9" t="inlineStr">
        <is>
          <t>H</t>
        </is>
      </c>
      <c r="J391" s="9" t="inlineStr">
        <is>
          <t>Overdraft-protection auto-pull from savings</t>
        </is>
      </c>
    </row>
    <row r="392">
      <c r="A392" s="9" t="inlineStr">
        <is>
          <t>Checking ...0861</t>
        </is>
      </c>
      <c r="B392" s="29" t="n">
        <v>46216</v>
      </c>
      <c r="C392" s="9" t="inlineStr">
        <is>
          <t>PAYPAL           PURCHASE   APPLE.COM BILL  WEB ID: PAYPALSI77</t>
        </is>
      </c>
      <c r="D392" s="10" t="n">
        <v>-0.99</v>
      </c>
      <c r="E392" s="9" t="inlineStr">
        <is>
          <t>ACH_DEBIT</t>
        </is>
      </c>
      <c r="F392" s="10" t="n">
        <v>404.09</v>
      </c>
      <c r="G392" s="9" t="inlineStr">
        <is>
          <t>Others</t>
        </is>
      </c>
      <c r="H392">
        <f>IFERROR(INDEX(Categories!$A$5:$A$93,MATCH(G392,Categories!$B$5:$B$93,0)),"")</f>
        <v/>
      </c>
      <c r="I392" s="9" t="inlineStr">
        <is>
          <t>R</t>
        </is>
      </c>
      <c r="J392" s="9" t="inlineStr">
        <is>
          <t>Subscription/purchase via PayPal (Apple, Etsy, Google apps, Lyft, AARP, etc.) - no matching category</t>
        </is>
      </c>
    </row>
    <row r="393">
      <c r="A393" s="9" t="inlineStr">
        <is>
          <t>Checking ...0861</t>
        </is>
      </c>
      <c r="B393" s="29" t="n">
        <v>46216</v>
      </c>
      <c r="C393" s="9" t="inlineStr">
        <is>
          <t>SoFi Bank        TRANSFER   CPerez          WEB ID: 9039430511</t>
        </is>
      </c>
      <c r="D393" s="10" t="n">
        <v>-1000</v>
      </c>
      <c r="E393" s="9" t="inlineStr">
        <is>
          <t>MISC_DEBIT</t>
        </is>
      </c>
      <c r="F393" s="10" t="n">
        <v>405.08</v>
      </c>
      <c r="G393" s="9" t="inlineStr">
        <is>
          <t>Transfer - Checking to SoFi/Other</t>
        </is>
      </c>
      <c r="H393">
        <f>IFERROR(INDEX(Categories!$A$5:$A$93,MATCH(G393,Categories!$B$5:$B$93,0)),"")</f>
        <v/>
      </c>
      <c r="I393" s="9" t="inlineStr">
        <is>
          <t>R</t>
        </is>
      </c>
      <c r="J393" s="9" t="inlineStr">
        <is>
          <t>Large transfer (thousands) to a SoFi/SMBS account - please confirm what this account is</t>
        </is>
      </c>
    </row>
    <row r="394">
      <c r="A394" s="9" t="inlineStr">
        <is>
          <t>Checking ...0861</t>
        </is>
      </c>
      <c r="B394" s="29" t="n">
        <v>46216</v>
      </c>
      <c r="C394" s="9" t="inlineStr">
        <is>
          <t>SoFi Bank        TRANSFER   CPerez          WEB ID: 9039430511</t>
        </is>
      </c>
      <c r="D394" s="10" t="n">
        <v>-1000</v>
      </c>
      <c r="E394" s="9" t="inlineStr">
        <is>
          <t>MISC_DEBIT</t>
        </is>
      </c>
      <c r="F394" s="10" t="n">
        <v>1405.08</v>
      </c>
      <c r="G394" s="9" t="inlineStr">
        <is>
          <t>Transfer - Checking to SoFi/Other</t>
        </is>
      </c>
      <c r="H394">
        <f>IFERROR(INDEX(Categories!$A$5:$A$93,MATCH(G394,Categories!$B$5:$B$93,0)),"")</f>
        <v/>
      </c>
      <c r="I394" s="9" t="inlineStr">
        <is>
          <t>R</t>
        </is>
      </c>
      <c r="J394" s="9" t="inlineStr">
        <is>
          <t>Large transfer (thousands) to a SoFi/SMBS account - please confirm what this account is</t>
        </is>
      </c>
    </row>
    <row r="395">
      <c r="A395" s="9" t="inlineStr">
        <is>
          <t>Checking ...0861</t>
        </is>
      </c>
      <c r="B395" s="29" t="n">
        <v>46216</v>
      </c>
      <c r="C395" s="9" t="inlineStr">
        <is>
          <t>SoFi Bank        TRANSFER   CPerez          WEB ID: 9039430511</t>
        </is>
      </c>
      <c r="D395" s="10" t="n">
        <v>-18000</v>
      </c>
      <c r="E395" s="9" t="inlineStr">
        <is>
          <t>MISC_DEBIT</t>
        </is>
      </c>
      <c r="F395" s="10" t="n">
        <v>2405.08</v>
      </c>
      <c r="G395" s="9" t="inlineStr">
        <is>
          <t>Transfer - Checking to SoFi/Other</t>
        </is>
      </c>
      <c r="H395">
        <f>IFERROR(INDEX(Categories!$A$5:$A$93,MATCH(G395,Categories!$B$5:$B$93,0)),"")</f>
        <v/>
      </c>
      <c r="I395" s="9" t="inlineStr">
        <is>
          <t>R</t>
        </is>
      </c>
      <c r="J395" s="9" t="inlineStr">
        <is>
          <t>Large transfer (thousands) to a SoFi/SMBS account - please confirm what this account is</t>
        </is>
      </c>
    </row>
    <row r="396">
      <c r="A396" s="9" t="inlineStr">
        <is>
          <t>Checking ...0861</t>
        </is>
      </c>
      <c r="B396" s="29" t="n">
        <v>46216</v>
      </c>
      <c r="C396" s="9" t="inlineStr">
        <is>
          <t>AMAZON MARKETPLA INTERNET   043000097602704 WEB ID: 9049016352</t>
        </is>
      </c>
      <c r="D396" s="10" t="n">
        <v>-10.86</v>
      </c>
      <c r="E396" s="9" t="inlineStr">
        <is>
          <t>ACH_DEBIT</t>
        </is>
      </c>
      <c r="F396" s="10" t="n">
        <v>20405.08</v>
      </c>
      <c r="G396" s="9" t="inlineStr">
        <is>
          <t>Shop - Amazon</t>
        </is>
      </c>
      <c r="H396">
        <f>IFERROR(INDEX(Categories!$A$5:$A$93,MATCH(G396,Categories!$B$5:$B$93,0)),"")</f>
        <v/>
      </c>
      <c r="I396" s="9" t="inlineStr">
        <is>
          <t>H</t>
        </is>
      </c>
      <c r="J396" s="9" t="inlineStr"/>
    </row>
    <row r="397">
      <c r="A397" s="9" t="inlineStr">
        <is>
          <t>Checking ...0861</t>
        </is>
      </c>
      <c r="B397" s="29" t="n">
        <v>46216</v>
      </c>
      <c r="C397" s="9" t="inlineStr">
        <is>
          <t>PAYPAL           PURCHASE   TIKTOK SHOP     WEB ID: PAYPALSI77</t>
        </is>
      </c>
      <c r="D397" s="10" t="n">
        <v>-20.22</v>
      </c>
      <c r="E397" s="9" t="inlineStr">
        <is>
          <t>ACH_DEBIT</t>
        </is>
      </c>
      <c r="F397" s="10" t="n">
        <v>20415.94</v>
      </c>
      <c r="G397" s="9" t="inlineStr">
        <is>
          <t>paypal tiktok</t>
        </is>
      </c>
      <c r="H397">
        <f>IFERROR(INDEX(Categories!$A$5:$A$93,MATCH(G397,Categories!$B$5:$B$93,0)),"")</f>
        <v/>
      </c>
      <c r="I397" s="9" t="inlineStr">
        <is>
          <t>H</t>
        </is>
      </c>
      <c r="J397" s="9" t="inlineStr"/>
    </row>
    <row r="398">
      <c r="A398" s="9" t="inlineStr">
        <is>
          <t>Checking ...0861</t>
        </is>
      </c>
      <c r="B398" s="29" t="n">
        <v>46216</v>
      </c>
      <c r="C398" s="9" t="inlineStr">
        <is>
          <t>ONEPAY CASHREWRD PAYMENT    552315100369915 WEB ID: 9130142001</t>
        </is>
      </c>
      <c r="D398" s="10" t="n">
        <v>-30</v>
      </c>
      <c r="E398" s="9" t="inlineStr">
        <is>
          <t>ACH_DEBIT</t>
        </is>
      </c>
      <c r="F398" s="10" t="n">
        <v>20436.16</v>
      </c>
      <c r="G398" s="9" t="inlineStr">
        <is>
          <t>CC - One Pay</t>
        </is>
      </c>
      <c r="H398">
        <f>IFERROR(INDEX(Categories!$A$5:$A$93,MATCH(G398,Categories!$B$5:$B$93,0)),"")</f>
        <v/>
      </c>
      <c r="I398" s="9" t="inlineStr">
        <is>
          <t>H</t>
        </is>
      </c>
      <c r="J398" s="9" t="inlineStr"/>
    </row>
    <row r="399">
      <c r="A399" s="9" t="inlineStr">
        <is>
          <t>Checking ...0861</t>
        </is>
      </c>
      <c r="B399" s="29" t="n">
        <v>46216</v>
      </c>
      <c r="C399" s="9" t="inlineStr">
        <is>
          <t>LIFE INS OF SW   XXXXXXXXXX                 PPD ID: 1954349000</t>
        </is>
      </c>
      <c r="D399" s="10" t="n">
        <v>-205.62</v>
      </c>
      <c r="E399" s="9" t="inlineStr">
        <is>
          <t>ACH_DEBIT</t>
        </is>
      </c>
      <c r="F399" s="10" t="n">
        <v>20466.16</v>
      </c>
      <c r="G399" s="9" t="inlineStr">
        <is>
          <t>National Life Ins</t>
        </is>
      </c>
      <c r="H399">
        <f>IFERROR(INDEX(Categories!$A$5:$A$93,MATCH(G399,Categories!$B$5:$B$93,0)),"")</f>
        <v/>
      </c>
      <c r="I399" s="9" t="inlineStr">
        <is>
          <t>H</t>
        </is>
      </c>
      <c r="J399" s="9" t="inlineStr"/>
    </row>
    <row r="400">
      <c r="A400" s="9" t="inlineStr">
        <is>
          <t>Checking ...0861</t>
        </is>
      </c>
      <c r="B400" s="29" t="n">
        <v>46216</v>
      </c>
      <c r="C400" s="9" t="inlineStr">
        <is>
          <t>WAL-MART #5751 SALINAS CA                    07/12</t>
        </is>
      </c>
      <c r="D400" s="10" t="n">
        <v>-16.78</v>
      </c>
      <c r="E400" s="9" t="inlineStr">
        <is>
          <t>DEBIT_CARD</t>
        </is>
      </c>
      <c r="F400" s="10" t="n">
        <v>20671.78</v>
      </c>
      <c r="G400" s="9" t="inlineStr">
        <is>
          <t>Groceries - Walmart</t>
        </is>
      </c>
      <c r="H400">
        <f>IFERROR(INDEX(Categories!$A$5:$A$93,MATCH(G400,Categories!$B$5:$B$93,0)),"")</f>
        <v/>
      </c>
      <c r="I400" s="9" t="inlineStr">
        <is>
          <t>H</t>
        </is>
      </c>
      <c r="J400" s="9" t="inlineStr"/>
    </row>
    <row r="401">
      <c r="A401" s="9" t="inlineStr">
        <is>
          <t>Checking ...0861</t>
        </is>
      </c>
      <c r="B401" s="29" t="n">
        <v>46216</v>
      </c>
      <c r="C401" s="9" t="inlineStr">
        <is>
          <t>TAPIOCA DELIGHT SALINAS CA                   07/12</t>
        </is>
      </c>
      <c r="D401" s="10" t="n">
        <v>-19.5</v>
      </c>
      <c r="E401" s="9" t="inlineStr">
        <is>
          <t>DEBIT_CARD</t>
        </is>
      </c>
      <c r="F401" s="10" t="n">
        <v>20688.56</v>
      </c>
      <c r="G401" s="9" t="inlineStr">
        <is>
          <t>Food - Eat Out</t>
        </is>
      </c>
      <c r="H401">
        <f>IFERROR(INDEX(Categories!$A$5:$A$93,MATCH(G401,Categories!$B$5:$B$93,0)),"")</f>
        <v/>
      </c>
      <c r="I401" s="9" t="inlineStr">
        <is>
          <t>D</t>
        </is>
      </c>
      <c r="J401" s="9" t="inlineStr">
        <is>
          <t>Restaurant/fast-food - defaulted to Eat Out; move to Food - Ailynn/Chris/Misc if you know whose order it was</t>
        </is>
      </c>
    </row>
    <row r="402">
      <c r="A402" s="9" t="inlineStr">
        <is>
          <t>Checking ...0861</t>
        </is>
      </c>
      <c r="B402" s="29" t="n">
        <v>46216</v>
      </c>
      <c r="C402" s="9" t="inlineStr">
        <is>
          <t>JACK IN THE BOX 3485 MARINA CA               07/12</t>
        </is>
      </c>
      <c r="D402" s="10" t="n">
        <v>-5.88</v>
      </c>
      <c r="E402" s="9" t="inlineStr">
        <is>
          <t>DEBIT_CARD</t>
        </is>
      </c>
      <c r="F402" s="10" t="n">
        <v>20708.06</v>
      </c>
      <c r="G402" s="9" t="inlineStr">
        <is>
          <t>Food - Eat Out</t>
        </is>
      </c>
      <c r="H402">
        <f>IFERROR(INDEX(Categories!$A$5:$A$93,MATCH(G402,Categories!$B$5:$B$93,0)),"")</f>
        <v/>
      </c>
      <c r="I402" s="9" t="inlineStr">
        <is>
          <t>D</t>
        </is>
      </c>
      <c r="J402" s="9" t="inlineStr">
        <is>
          <t>Restaurant/fast-food - defaulted to Eat Out; move to Food - Ailynn/Chris/Misc if you know whose order it was</t>
        </is>
      </c>
    </row>
    <row r="403">
      <c r="A403" s="9" t="inlineStr">
        <is>
          <t>Checking ...0861</t>
        </is>
      </c>
      <c r="B403" s="29" t="n">
        <v>46216</v>
      </c>
      <c r="C403" s="9" t="inlineStr">
        <is>
          <t>DOLLAR TREE MARINA CA                        07/12</t>
        </is>
      </c>
      <c r="D403" s="10" t="n">
        <v>-13.11</v>
      </c>
      <c r="E403" s="9" t="inlineStr">
        <is>
          <t>DEBIT_CARD</t>
        </is>
      </c>
      <c r="F403" s="10" t="n">
        <v>20713.94</v>
      </c>
      <c r="G403" s="9" t="inlineStr">
        <is>
          <t>Shop - Others</t>
        </is>
      </c>
      <c r="H403">
        <f>IFERROR(INDEX(Categories!$A$5:$A$93,MATCH(G403,Categories!$B$5:$B$93,0)),"")</f>
        <v/>
      </c>
      <c r="I403" s="9" t="inlineStr">
        <is>
          <t>D</t>
        </is>
      </c>
      <c r="J403" s="9" t="inlineStr"/>
    </row>
    <row r="404">
      <c r="A404" s="9" t="inlineStr">
        <is>
          <t>Checking ...0861</t>
        </is>
      </c>
      <c r="B404" s="29" t="n">
        <v>46216</v>
      </c>
      <c r="C404" s="9" t="inlineStr">
        <is>
          <t>GIV*FIRST PRESBY 831-4227811 CA              07/12</t>
        </is>
      </c>
      <c r="D404" s="10" t="n">
        <v>-20</v>
      </c>
      <c r="E404" s="9" t="inlineStr">
        <is>
          <t>DEBIT_CARD</t>
        </is>
      </c>
      <c r="F404" s="10" t="n">
        <v>20727.05</v>
      </c>
      <c r="G404" s="9" t="inlineStr">
        <is>
          <t>Others</t>
        </is>
      </c>
      <c r="H404">
        <f>IFERROR(INDEX(Categories!$A$5:$A$93,MATCH(G404,Categories!$B$5:$B$93,0)),"")</f>
        <v/>
      </c>
      <c r="I404" s="9" t="inlineStr">
        <is>
          <t>H</t>
        </is>
      </c>
      <c r="J404" s="9" t="inlineStr">
        <is>
          <t>Recurring $20 church/charitable giving - no matching category in your list, put under Others</t>
        </is>
      </c>
    </row>
    <row r="405">
      <c r="A405" s="9" t="inlineStr">
        <is>
          <t>Checking ...0861</t>
        </is>
      </c>
      <c r="B405" s="29" t="n">
        <v>46216</v>
      </c>
      <c r="C405" s="9" t="inlineStr">
        <is>
          <t>CANNERY ROW GARAGE 8316463953 CA             07/11</t>
        </is>
      </c>
      <c r="D405" s="10" t="n">
        <v>-5</v>
      </c>
      <c r="E405" s="9" t="inlineStr">
        <is>
          <t>DEBIT_CARD</t>
        </is>
      </c>
      <c r="F405" s="10" t="n">
        <v>20747.05</v>
      </c>
      <c r="G405" s="9" t="inlineStr">
        <is>
          <t>For Car</t>
        </is>
      </c>
      <c r="H405">
        <f>IFERROR(INDEX(Categories!$A$5:$A$93,MATCH(G405,Categories!$B$5:$B$93,0)),"")</f>
        <v/>
      </c>
      <c r="I405" s="9" t="inlineStr">
        <is>
          <t>D</t>
        </is>
      </c>
      <c r="J405" s="9" t="inlineStr">
        <is>
          <t>Parking charge, defaulted to For Car</t>
        </is>
      </c>
    </row>
    <row r="406">
      <c r="A406" s="9" t="inlineStr">
        <is>
          <t>Checking ...0861</t>
        </is>
      </c>
      <c r="B406" s="29" t="n">
        <v>46216</v>
      </c>
      <c r="C406" s="9" t="inlineStr">
        <is>
          <t>WM SUPERCENTER #5751 SALINAS CA              07/11</t>
        </is>
      </c>
      <c r="D406" s="10" t="n">
        <v>-9</v>
      </c>
      <c r="E406" s="9" t="inlineStr">
        <is>
          <t>DEBIT_CARD</t>
        </is>
      </c>
      <c r="F406" s="10" t="n">
        <v>20752.05</v>
      </c>
      <c r="G406" s="9" t="inlineStr">
        <is>
          <t>Groceries - Walmart</t>
        </is>
      </c>
      <c r="H406">
        <f>IFERROR(INDEX(Categories!$A$5:$A$93,MATCH(G406,Categories!$B$5:$B$93,0)),"")</f>
        <v/>
      </c>
      <c r="I406" s="9" t="inlineStr">
        <is>
          <t>H</t>
        </is>
      </c>
      <c r="J406" s="9" t="inlineStr"/>
    </row>
    <row r="407">
      <c r="A407" s="9" t="inlineStr">
        <is>
          <t>Checking ...0861</t>
        </is>
      </c>
      <c r="B407" s="29" t="n">
        <v>46216</v>
      </c>
      <c r="C407" s="9" t="inlineStr">
        <is>
          <t>WAL-MART #5751 SALINAS CA                    07/11</t>
        </is>
      </c>
      <c r="D407" s="10" t="n">
        <v>-9</v>
      </c>
      <c r="E407" s="9" t="inlineStr">
        <is>
          <t>DEBIT_CARD</t>
        </is>
      </c>
      <c r="F407" s="10" t="n">
        <v>20761.05</v>
      </c>
      <c r="G407" s="9" t="inlineStr">
        <is>
          <t>Groceries - Walmart</t>
        </is>
      </c>
      <c r="H407">
        <f>IFERROR(INDEX(Categories!$A$5:$A$93,MATCH(G407,Categories!$B$5:$B$93,0)),"")</f>
        <v/>
      </c>
      <c r="I407" s="9" t="inlineStr">
        <is>
          <t>H</t>
        </is>
      </c>
      <c r="J407" s="9" t="inlineStr"/>
    </row>
    <row r="408">
      <c r="A408" s="9" t="inlineStr">
        <is>
          <t>Checking ...0861</t>
        </is>
      </c>
      <c r="B408" s="29" t="n">
        <v>46216</v>
      </c>
      <c r="C408" s="9" t="inlineStr">
        <is>
          <t>Klarna*Fabletics  LL Columbus OH             07/11</t>
        </is>
      </c>
      <c r="D408" s="10" t="n">
        <v>-69.95</v>
      </c>
      <c r="E408" s="9" t="inlineStr">
        <is>
          <t>DEBIT_CARD</t>
        </is>
      </c>
      <c r="F408" s="10" t="n">
        <v>20770.05</v>
      </c>
      <c r="G408" s="9" t="inlineStr">
        <is>
          <t>Klarna</t>
        </is>
      </c>
      <c r="H408">
        <f>IFERROR(INDEX(Categories!$A$5:$A$93,MATCH(G408,Categories!$B$5:$B$93,0)),"")</f>
        <v/>
      </c>
      <c r="I408" s="9" t="inlineStr">
        <is>
          <t>H</t>
        </is>
      </c>
      <c r="J408" s="9" t="inlineStr"/>
    </row>
    <row r="409">
      <c r="A409" s="9" t="inlineStr">
        <is>
          <t>Checking ...0861</t>
        </is>
      </c>
      <c r="B409" s="29" t="n">
        <v>46216</v>
      </c>
      <c r="C409" s="9" t="inlineStr">
        <is>
          <t>BARCLAYCARD US   CREDITCARD 1433713831      WEB ID: 2510407970</t>
        </is>
      </c>
      <c r="D409" s="10" t="n">
        <v>-799.42</v>
      </c>
      <c r="E409" s="9" t="inlineStr">
        <is>
          <t>ACH_DEBIT</t>
        </is>
      </c>
      <c r="F409" s="10" t="n">
        <v>20840</v>
      </c>
      <c r="G409" s="9" t="inlineStr">
        <is>
          <t>CC - Frontier card</t>
        </is>
      </c>
      <c r="H409">
        <f>IFERROR(INDEX(Categories!$A$5:$A$93,MATCH(G409,Categories!$B$5:$B$93,0)),"")</f>
        <v/>
      </c>
      <c r="I409" s="9" t="inlineStr">
        <is>
          <t>R</t>
        </is>
      </c>
      <c r="J409" s="9" t="inlineStr">
        <is>
          <t>Barclaycard - assumed this is the Frontier Airlines card, please confirm</t>
        </is>
      </c>
    </row>
    <row r="410">
      <c r="A410" s="9" t="inlineStr">
        <is>
          <t>Checking ...0861</t>
        </is>
      </c>
      <c r="B410" s="29" t="n">
        <v>46216</v>
      </c>
      <c r="C410" s="9" t="inlineStr">
        <is>
          <t>CITI CARD ONLINE PAYMENT    422062015132951 WEB ID: CITICTP</t>
        </is>
      </c>
      <c r="D410" s="10" t="n">
        <v>-1892.24</v>
      </c>
      <c r="E410" s="9" t="inlineStr">
        <is>
          <t>ACH_DEBIT</t>
        </is>
      </c>
      <c r="F410" s="10" t="n">
        <v>21639.42</v>
      </c>
      <c r="G410" s="9" t="inlineStr">
        <is>
          <t>CC - Citibank</t>
        </is>
      </c>
      <c r="H410">
        <f>IFERROR(INDEX(Categories!$A$5:$A$93,MATCH(G410,Categories!$B$5:$B$93,0)),"")</f>
        <v/>
      </c>
      <c r="I410" s="9" t="inlineStr">
        <is>
          <t>H</t>
        </is>
      </c>
      <c r="J410" s="9" t="inlineStr"/>
    </row>
    <row r="411">
      <c r="A411" s="9" t="inlineStr">
        <is>
          <t>Checking ...0861</t>
        </is>
      </c>
      <c r="B411" s="29" t="n">
        <v>46216</v>
      </c>
      <c r="C411" s="9" t="inlineStr">
        <is>
          <t>KLARNA* WHEELTOP.US KLARNA.COM OH            07/11</t>
        </is>
      </c>
      <c r="D411" s="10" t="n">
        <v>-66.34999999999999</v>
      </c>
      <c r="E411" s="9" t="inlineStr">
        <is>
          <t>DEBIT_CARD</t>
        </is>
      </c>
      <c r="F411" s="10" t="n">
        <v>23531.66</v>
      </c>
      <c r="G411" s="9" t="inlineStr">
        <is>
          <t>Klarna</t>
        </is>
      </c>
      <c r="H411">
        <f>IFERROR(INDEX(Categories!$A$5:$A$93,MATCH(G411,Categories!$B$5:$B$93,0)),"")</f>
        <v/>
      </c>
      <c r="I411" s="9" t="inlineStr">
        <is>
          <t>H</t>
        </is>
      </c>
      <c r="J411" s="9" t="inlineStr"/>
    </row>
    <row r="412">
      <c r="A412" s="9" t="inlineStr">
        <is>
          <t>Checking ...0861</t>
        </is>
      </c>
      <c r="B412" s="29" t="n">
        <v>46216</v>
      </c>
      <c r="C412" s="9" t="inlineStr">
        <is>
          <t>OLIVE GARDEN ZK 0021335 SALINAS CA           07/11</t>
        </is>
      </c>
      <c r="D412" s="10" t="n">
        <v>-96.54000000000001</v>
      </c>
      <c r="E412" s="9" t="inlineStr">
        <is>
          <t>DEBIT_CARD</t>
        </is>
      </c>
      <c r="F412" s="10" t="n">
        <v>23598.01</v>
      </c>
      <c r="G412" s="9" t="inlineStr">
        <is>
          <t>Food - Eat Out</t>
        </is>
      </c>
      <c r="H412">
        <f>IFERROR(INDEX(Categories!$A$5:$A$93,MATCH(G412,Categories!$B$5:$B$93,0)),"")</f>
        <v/>
      </c>
      <c r="I412" s="9" t="inlineStr">
        <is>
          <t>D</t>
        </is>
      </c>
      <c r="J412" s="9" t="inlineStr">
        <is>
          <t>Restaurant/fast-food - defaulted to Eat Out; move to Food - Ailynn/Chris/Misc if you know whose order it was</t>
        </is>
      </c>
    </row>
    <row r="413">
      <c r="A413" s="9" t="inlineStr">
        <is>
          <t>Checking ...0861</t>
        </is>
      </c>
      <c r="B413" s="29" t="n">
        <v>46216</v>
      </c>
      <c r="C413" s="9" t="inlineStr">
        <is>
          <t>SQ *SUBIEEVENTS, LLC gosq.com CO             07/11</t>
        </is>
      </c>
      <c r="D413" s="10" t="n">
        <v>-179.98</v>
      </c>
      <c r="E413" s="9" t="inlineStr">
        <is>
          <t>DEBIT_CARD</t>
        </is>
      </c>
      <c r="F413" s="10" t="n">
        <v>23694.55</v>
      </c>
      <c r="G413" s="9" t="inlineStr">
        <is>
          <t>Food - Eat Out</t>
        </is>
      </c>
      <c r="H413">
        <f>IFERROR(INDEX(Categories!$A$5:$A$93,MATCH(G413,Categories!$B$5:$B$93,0)),"")</f>
        <v/>
      </c>
      <c r="I413" s="9" t="inlineStr">
        <is>
          <t>D</t>
        </is>
      </c>
      <c r="J413" s="9" t="inlineStr"/>
    </row>
    <row r="414">
      <c r="A414" s="9" t="inlineStr">
        <is>
          <t>Checking ...0861</t>
        </is>
      </c>
      <c r="B414" s="29" t="n">
        <v>46216</v>
      </c>
      <c r="C414" s="9" t="inlineStr">
        <is>
          <t>USPS CHANGE OF ADDRES 800-238-3150 TN        07/10</t>
        </is>
      </c>
      <c r="D414" s="10" t="n">
        <v>-1.25</v>
      </c>
      <c r="E414" s="9" t="inlineStr">
        <is>
          <t>DEBIT_CARD</t>
        </is>
      </c>
      <c r="F414" s="10" t="n">
        <v>23874.53</v>
      </c>
      <c r="G414" s="9" t="inlineStr">
        <is>
          <t>Others</t>
        </is>
      </c>
      <c r="H414">
        <f>IFERROR(INDEX(Categories!$A$5:$A$93,MATCH(G414,Categories!$B$5:$B$93,0)),"")</f>
        <v/>
      </c>
      <c r="I414" s="9" t="inlineStr">
        <is>
          <t>D</t>
        </is>
      </c>
      <c r="J414" s="9" t="inlineStr">
        <is>
          <t>Shipping/postal</t>
        </is>
      </c>
    </row>
    <row r="415">
      <c r="A415" s="9" t="inlineStr">
        <is>
          <t>Checking ...0861</t>
        </is>
      </c>
      <c r="B415" s="29" t="n">
        <v>46216</v>
      </c>
      <c r="C415" s="9" t="inlineStr">
        <is>
          <t>SHS*SVMHSCLINICS MONTEREY CA                 07/10</t>
        </is>
      </c>
      <c r="D415" s="10" t="n">
        <v>-16.75</v>
      </c>
      <c r="E415" s="9" t="inlineStr">
        <is>
          <t>DEBIT_CARD</t>
        </is>
      </c>
      <c r="F415" s="10" t="n">
        <v>23875.78</v>
      </c>
      <c r="G415" s="9" t="inlineStr">
        <is>
          <t>Medical</t>
        </is>
      </c>
      <c r="H415">
        <f>IFERROR(INDEX(Categories!$A$5:$A$93,MATCH(G415,Categories!$B$5:$B$93,0)),"")</f>
        <v/>
      </c>
      <c r="I415" s="9" t="inlineStr">
        <is>
          <t>H</t>
        </is>
      </c>
      <c r="J415" s="9" t="inlineStr"/>
    </row>
    <row r="416">
      <c r="A416" s="9" t="inlineStr">
        <is>
          <t>Checking ...0861</t>
        </is>
      </c>
      <c r="B416" s="29" t="n">
        <v>46216</v>
      </c>
      <c r="C416" s="9" t="inlineStr">
        <is>
          <t>TST*MISSION STREET BBQ Santa Cruz CA         07/10</t>
        </is>
      </c>
      <c r="D416" s="10" t="n">
        <v>-27.17</v>
      </c>
      <c r="E416" s="9" t="inlineStr">
        <is>
          <t>DEBIT_CARD</t>
        </is>
      </c>
      <c r="F416" s="10" t="n">
        <v>23892.53</v>
      </c>
      <c r="G416" s="9" t="inlineStr">
        <is>
          <t>Food - Eat Out</t>
        </is>
      </c>
      <c r="H416">
        <f>IFERROR(INDEX(Categories!$A$5:$A$93,MATCH(G416,Categories!$B$5:$B$93,0)),"")</f>
        <v/>
      </c>
      <c r="I416" s="9" t="inlineStr">
        <is>
          <t>D</t>
        </is>
      </c>
      <c r="J416" s="9" t="inlineStr">
        <is>
          <t>Restaurant/fast-food - defaulted to Eat Out; move to Food - Ailynn/Chris/Misc if you know whose order it was</t>
        </is>
      </c>
    </row>
    <row r="417">
      <c r="A417" s="9" t="inlineStr">
        <is>
          <t>Checking ...0861</t>
        </is>
      </c>
      <c r="B417" s="29" t="n">
        <v>46216</v>
      </c>
      <c r="C417" s="9" t="inlineStr">
        <is>
          <t>BADA KITCHEN SEASIDE CA                      07/10</t>
        </is>
      </c>
      <c r="D417" s="10" t="n">
        <v>-55.86</v>
      </c>
      <c r="E417" s="9" t="inlineStr">
        <is>
          <t>DEBIT_CARD</t>
        </is>
      </c>
      <c r="F417" s="10" t="n">
        <v>23919.7</v>
      </c>
      <c r="G417" s="9" t="inlineStr">
        <is>
          <t>Food - Eat Out</t>
        </is>
      </c>
      <c r="H417">
        <f>IFERROR(INDEX(Categories!$A$5:$A$93,MATCH(G417,Categories!$B$5:$B$93,0)),"")</f>
        <v/>
      </c>
      <c r="I417" s="9" t="inlineStr">
        <is>
          <t>D</t>
        </is>
      </c>
      <c r="J417" s="9" t="inlineStr">
        <is>
          <t>Restaurant/fast-food - defaulted to Eat Out; move to Food - Ailynn/Chris/Misc if you know whose order it was</t>
        </is>
      </c>
    </row>
    <row r="418">
      <c r="A418" s="9" t="inlineStr">
        <is>
          <t>Checking ...0861</t>
        </is>
      </c>
      <c r="B418" s="29" t="n">
        <v>46216</v>
      </c>
      <c r="C418" s="9" t="inlineStr">
        <is>
          <t>Zelle payment from KYLA MARIE TUAZON PEREZ 29966357341</t>
        </is>
      </c>
      <c r="D418" s="10" t="n">
        <v>21.03</v>
      </c>
      <c r="E418" s="9" t="inlineStr">
        <is>
          <t>QUICKPAY_CREDIT</t>
        </is>
      </c>
      <c r="F418" s="10" t="n">
        <v>23975.56</v>
      </c>
      <c r="G418" s="9" t="inlineStr">
        <is>
          <t>Others - Income</t>
        </is>
      </c>
      <c r="H418">
        <f>IFERROR(INDEX(Categories!$A$5:$A$93,MATCH(G418,Categories!$B$5:$B$93,0)),"")</f>
        <v/>
      </c>
      <c r="I418" s="9" t="inlineStr">
        <is>
          <t>R</t>
        </is>
      </c>
      <c r="J418" s="9" t="inlineStr">
        <is>
          <t>Zelle received - please tell me who this person is so I can map them to a category</t>
        </is>
      </c>
    </row>
    <row r="419">
      <c r="A419" s="9" t="inlineStr">
        <is>
          <t>Checking ...0861</t>
        </is>
      </c>
      <c r="B419" s="29" t="n">
        <v>46216</v>
      </c>
      <c r="C419" s="9" t="inlineStr">
        <is>
          <t>REMOTE ONLINE DEPOSIT #          1</t>
        </is>
      </c>
      <c r="D419" s="10" t="n">
        <v>333.22</v>
      </c>
      <c r="E419" s="9" t="inlineStr">
        <is>
          <t>CHECK_DEPOSIT</t>
        </is>
      </c>
      <c r="F419" s="10" t="n">
        <v>23954.53</v>
      </c>
      <c r="G419" s="9" t="inlineStr">
        <is>
          <t>Others - Income</t>
        </is>
      </c>
      <c r="H419">
        <f>IFERROR(INDEX(Categories!$A$5:$A$93,MATCH(G419,Categories!$B$5:$B$93,0)),"")</f>
        <v/>
      </c>
      <c r="I419" s="9" t="inlineStr">
        <is>
          <t>R</t>
        </is>
      </c>
      <c r="J419" s="9" t="inlineStr">
        <is>
          <t>Deposit/wire with unclear source</t>
        </is>
      </c>
    </row>
    <row r="420">
      <c r="A420" s="9" t="inlineStr">
        <is>
          <t>Checking ...0861</t>
        </is>
      </c>
      <c r="B420" s="29" t="n">
        <v>46213</v>
      </c>
      <c r="C420" s="9" t="inlineStr">
        <is>
          <t>PAYPAL           TRANSFER   ADD TO BALANCE  WEB ID: PAYPALSD22</t>
        </is>
      </c>
      <c r="D420" s="10" t="n">
        <v>-50</v>
      </c>
      <c r="E420" s="9" t="inlineStr">
        <is>
          <t>ACH_DEBIT</t>
        </is>
      </c>
      <c r="F420" s="10" t="n">
        <v>23621.31</v>
      </c>
      <c r="G420" s="9" t="inlineStr">
        <is>
          <t>Transfer - Checking to PayPal</t>
        </is>
      </c>
      <c r="H420">
        <f>IFERROR(INDEX(Categories!$A$5:$A$93,MATCH(G420,Categories!$B$5:$B$93,0)),"")</f>
        <v/>
      </c>
      <c r="I420" s="9" t="inlineStr">
        <is>
          <t>H</t>
        </is>
      </c>
      <c r="J420" s="9" t="inlineStr"/>
    </row>
    <row r="421">
      <c r="A421" s="9" t="inlineStr">
        <is>
          <t>Checking ...0861</t>
        </is>
      </c>
      <c r="B421" s="29" t="n">
        <v>46213</v>
      </c>
      <c r="C421" s="9" t="inlineStr">
        <is>
          <t>WF               PAYMENT    39145073        WEB ID: 1272814169</t>
        </is>
      </c>
      <c r="D421" s="10" t="n">
        <v>-223.53</v>
      </c>
      <c r="E421" s="9" t="inlineStr">
        <is>
          <t>ACH_DEBIT</t>
        </is>
      </c>
      <c r="F421" s="10" t="n">
        <v>23671.31</v>
      </c>
      <c r="G421" s="9" t="inlineStr">
        <is>
          <t>Auto Loan - Honda</t>
        </is>
      </c>
      <c r="H421">
        <f>IFERROR(INDEX(Categories!$A$5:$A$93,MATCH(G421,Categories!$B$5:$B$93,0)),"")</f>
        <v/>
      </c>
      <c r="I421" s="9" t="inlineStr">
        <is>
          <t>R</t>
        </is>
      </c>
      <c r="J421" s="9" t="inlineStr">
        <is>
          <t>Same $ amounts as the Westlake payments below/above - looks like the same auto loan, formerly serviced by 'WF'. Please confirm</t>
        </is>
      </c>
    </row>
    <row r="422">
      <c r="A422" s="9" t="inlineStr">
        <is>
          <t>Checking ...0861</t>
        </is>
      </c>
      <c r="B422" s="29" t="n">
        <v>46213</v>
      </c>
      <c r="C422" s="9" t="inlineStr">
        <is>
          <t>WF               PAYMENT    39145073        WEB ID: 1272814169</t>
        </is>
      </c>
      <c r="D422" s="10" t="n">
        <v>-276.43</v>
      </c>
      <c r="E422" s="9" t="inlineStr">
        <is>
          <t>ACH_DEBIT</t>
        </is>
      </c>
      <c r="F422" s="10" t="n">
        <v>23894.84</v>
      </c>
      <c r="G422" s="9" t="inlineStr">
        <is>
          <t>Auto Loan - Honda</t>
        </is>
      </c>
      <c r="H422">
        <f>IFERROR(INDEX(Categories!$A$5:$A$93,MATCH(G422,Categories!$B$5:$B$93,0)),"")</f>
        <v/>
      </c>
      <c r="I422" s="9" t="inlineStr">
        <is>
          <t>R</t>
        </is>
      </c>
      <c r="J422" s="9" t="inlineStr">
        <is>
          <t>Same $ amounts as the Westlake payments below/above - looks like the same auto loan, formerly serviced by 'WF'. Please confirm</t>
        </is>
      </c>
    </row>
    <row r="423">
      <c r="A423" s="9" t="inlineStr">
        <is>
          <t>Checking ...0861</t>
        </is>
      </c>
      <c r="B423" s="29" t="n">
        <v>46213</v>
      </c>
      <c r="C423" s="9" t="inlineStr">
        <is>
          <t>Online Payment 29959657091 To ALA 0908 07/10</t>
        </is>
      </c>
      <c r="D423" s="10" t="n">
        <v>-706.36</v>
      </c>
      <c r="E423" s="9" t="inlineStr">
        <is>
          <t>LOAN_PMT</t>
        </is>
      </c>
      <c r="F423" s="10" t="n">
        <v>24171.27</v>
      </c>
      <c r="G423" s="9" t="inlineStr">
        <is>
          <t>Others</t>
        </is>
      </c>
      <c r="H423">
        <f>IFERROR(INDEX(Categories!$A$5:$A$93,MATCH(G423,Categories!$B$5:$B$93,0)),"")</f>
        <v/>
      </c>
      <c r="I423" s="9" t="inlineStr">
        <is>
          <t>R</t>
        </is>
      </c>
      <c r="J423" s="9" t="inlineStr">
        <is>
          <t>Recurring $706.36/month loan-type payment to 'ALA 0908' - please tell me what this is so I can give it the right category</t>
        </is>
      </c>
    </row>
    <row r="424">
      <c r="A424" s="9" t="inlineStr">
        <is>
          <t>Checking ...0861</t>
        </is>
      </c>
      <c r="B424" s="29" t="n">
        <v>46213</v>
      </c>
      <c r="C424" s="9" t="inlineStr">
        <is>
          <t>Online Transfer to  SAV ...5953 transaction#: 29867478630</t>
        </is>
      </c>
      <c r="D424" s="10" t="n">
        <v>-25</v>
      </c>
      <c r="E424" s="9" t="inlineStr">
        <is>
          <t>ACCT_XFER</t>
        </is>
      </c>
      <c r="F424" s="10" t="n">
        <v>24877.63</v>
      </c>
      <c r="G424" s="9" t="inlineStr">
        <is>
          <t>Transfer - Checking to Savings</t>
        </is>
      </c>
      <c r="H424">
        <f>IFERROR(INDEX(Categories!$A$5:$A$93,MATCH(G424,Categories!$B$5:$B$93,0)),"")</f>
        <v/>
      </c>
      <c r="I424" s="9" t="inlineStr">
        <is>
          <t>H</t>
        </is>
      </c>
      <c r="J424" s="9" t="inlineStr"/>
    </row>
    <row r="425">
      <c r="A425" s="9" t="inlineStr">
        <is>
          <t>Checking ...0861</t>
        </is>
      </c>
      <c r="B425" s="29" t="n">
        <v>46213</v>
      </c>
      <c r="C425" s="9" t="inlineStr">
        <is>
          <t>NESPRESSO USA INC Wilmington DE              07/10</t>
        </is>
      </c>
      <c r="D425" s="10" t="n">
        <v>-39.2</v>
      </c>
      <c r="E425" s="9" t="inlineStr">
        <is>
          <t>DEBIT_CARD</t>
        </is>
      </c>
      <c r="F425" s="10" t="n">
        <v>24902.63</v>
      </c>
      <c r="G425" s="9" t="inlineStr">
        <is>
          <t>Shop - Others</t>
        </is>
      </c>
      <c r="H425">
        <f>IFERROR(INDEX(Categories!$A$5:$A$93,MATCH(G425,Categories!$B$5:$B$93,0)),"")</f>
        <v/>
      </c>
      <c r="I425" s="9" t="inlineStr">
        <is>
          <t>D</t>
        </is>
      </c>
      <c r="J425" s="9" t="inlineStr"/>
    </row>
    <row r="426">
      <c r="A426" s="9" t="inlineStr">
        <is>
          <t>Checking ...0861</t>
        </is>
      </c>
      <c r="B426" s="29" t="n">
        <v>46213</v>
      </c>
      <c r="C426" s="9" t="inlineStr">
        <is>
          <t>STEVE'S FILIPINO ASIAN SALINAS CA            07/09</t>
        </is>
      </c>
      <c r="D426" s="10" t="n">
        <v>-55.24</v>
      </c>
      <c r="E426" s="9" t="inlineStr">
        <is>
          <t>DEBIT_CARD</t>
        </is>
      </c>
      <c r="F426" s="10" t="n">
        <v>24941.83</v>
      </c>
      <c r="G426" s="9" t="inlineStr">
        <is>
          <t>Groceries - Steves</t>
        </is>
      </c>
      <c r="H426">
        <f>IFERROR(INDEX(Categories!$A$5:$A$93,MATCH(G426,Categories!$B$5:$B$93,0)),"")</f>
        <v/>
      </c>
      <c r="I426" s="9" t="inlineStr">
        <is>
          <t>H</t>
        </is>
      </c>
      <c r="J426" s="9" t="inlineStr"/>
    </row>
    <row r="427">
      <c r="A427" s="9" t="inlineStr">
        <is>
          <t>Checking ...0861</t>
        </is>
      </c>
      <c r="B427" s="29" t="n">
        <v>46213</v>
      </c>
      <c r="C427" s="9" t="inlineStr">
        <is>
          <t>CARLS JR 1100749 SALINAS CA                  07/09</t>
        </is>
      </c>
      <c r="D427" s="10" t="n">
        <v>-11.79</v>
      </c>
      <c r="E427" s="9" t="inlineStr">
        <is>
          <t>DEBIT_CARD</t>
        </is>
      </c>
      <c r="F427" s="10" t="n">
        <v>24997.07</v>
      </c>
      <c r="G427" s="9" t="inlineStr">
        <is>
          <t>Food - Eat Out</t>
        </is>
      </c>
      <c r="H427">
        <f>IFERROR(INDEX(Categories!$A$5:$A$93,MATCH(G427,Categories!$B$5:$B$93,0)),"")</f>
        <v/>
      </c>
      <c r="I427" s="9" t="inlineStr">
        <is>
          <t>D</t>
        </is>
      </c>
      <c r="J427" s="9" t="inlineStr">
        <is>
          <t>Restaurant/fast-food - defaulted to Eat Out; move to Food - Ailynn/Chris/Misc if you know whose order it was</t>
        </is>
      </c>
    </row>
    <row r="428">
      <c r="A428" s="9" t="inlineStr">
        <is>
          <t>Checking ...0861</t>
        </is>
      </c>
      <c r="B428" s="29" t="n">
        <v>46213</v>
      </c>
      <c r="C428" s="9" t="inlineStr">
        <is>
          <t>EXXON SALINAS MAIN INC SALINAS CA            07/09</t>
        </is>
      </c>
      <c r="D428" s="10" t="n">
        <v>-78.31999999999999</v>
      </c>
      <c r="E428" s="9" t="inlineStr">
        <is>
          <t>DEBIT_CARD</t>
        </is>
      </c>
      <c r="F428" s="10" t="n">
        <v>25008.86</v>
      </c>
      <c r="G428" s="9" t="inlineStr">
        <is>
          <t>Gas</t>
        </is>
      </c>
      <c r="H428">
        <f>IFERROR(INDEX(Categories!$A$5:$A$93,MATCH(G428,Categories!$B$5:$B$93,0)),"")</f>
        <v/>
      </c>
      <c r="I428" s="9" t="inlineStr">
        <is>
          <t>D</t>
        </is>
      </c>
      <c r="J428" s="9" t="inlineStr"/>
    </row>
    <row r="429">
      <c r="A429" s="9" t="inlineStr">
        <is>
          <t>Checking ...0861</t>
        </is>
      </c>
      <c r="B429" s="29" t="n">
        <v>46213</v>
      </c>
      <c r="C429" s="9" t="inlineStr">
        <is>
          <t>Online Transfer from SAV ...5953 transaction#: 29959811089</t>
        </is>
      </c>
      <c r="D429" s="10" t="n">
        <v>2691.66</v>
      </c>
      <c r="E429" s="9" t="inlineStr">
        <is>
          <t>ACCT_XFER</t>
        </is>
      </c>
      <c r="F429" s="10" t="n">
        <v>25087.18</v>
      </c>
      <c r="G429" s="9" t="inlineStr">
        <is>
          <t>Transfer - Savings to Checking</t>
        </is>
      </c>
      <c r="H429">
        <f>IFERROR(INDEX(Categories!$A$5:$A$93,MATCH(G429,Categories!$B$5:$B$93,0)),"")</f>
        <v/>
      </c>
      <c r="I429" s="9" t="inlineStr">
        <is>
          <t>H</t>
        </is>
      </c>
      <c r="J429" s="9" t="inlineStr"/>
    </row>
    <row r="430">
      <c r="A430" s="9" t="inlineStr">
        <is>
          <t>Checking ...0861</t>
        </is>
      </c>
      <c r="B430" s="29" t="n">
        <v>46212</v>
      </c>
      <c r="C430" s="9" t="inlineStr">
        <is>
          <t>PAYPAL           PURCHASE   TIKTOK SHOP     WEB ID: PAYPALSI77</t>
        </is>
      </c>
      <c r="D430" s="10" t="n">
        <v>-13.49</v>
      </c>
      <c r="E430" s="9" t="inlineStr">
        <is>
          <t>ACH_DEBIT</t>
        </is>
      </c>
      <c r="F430" s="10" t="n">
        <v>22395.52</v>
      </c>
      <c r="G430" s="9" t="inlineStr">
        <is>
          <t>paypal tiktok</t>
        </is>
      </c>
      <c r="H430">
        <f>IFERROR(INDEX(Categories!$A$5:$A$93,MATCH(G430,Categories!$B$5:$B$93,0)),"")</f>
        <v/>
      </c>
      <c r="I430" s="9" t="inlineStr">
        <is>
          <t>H</t>
        </is>
      </c>
      <c r="J430" s="9" t="inlineStr"/>
    </row>
    <row r="431">
      <c r="A431" s="9" t="inlineStr">
        <is>
          <t>Checking ...0861</t>
        </is>
      </c>
      <c r="B431" s="29" t="n">
        <v>46212</v>
      </c>
      <c r="C431" s="9" t="inlineStr">
        <is>
          <t>WAL-MART #5751 SALINAS CA                    07/09</t>
        </is>
      </c>
      <c r="D431" s="10" t="n">
        <v>-7.34</v>
      </c>
      <c r="E431" s="9" t="inlineStr">
        <is>
          <t>DEBIT_CARD</t>
        </is>
      </c>
      <c r="F431" s="10" t="n">
        <v>22409.01</v>
      </c>
      <c r="G431" s="9" t="inlineStr">
        <is>
          <t>Groceries - Walmart</t>
        </is>
      </c>
      <c r="H431">
        <f>IFERROR(INDEX(Categories!$A$5:$A$93,MATCH(G431,Categories!$B$5:$B$93,0)),"")</f>
        <v/>
      </c>
      <c r="I431" s="9" t="inlineStr">
        <is>
          <t>H</t>
        </is>
      </c>
      <c r="J431" s="9" t="inlineStr"/>
    </row>
    <row r="432">
      <c r="A432" s="9" t="inlineStr">
        <is>
          <t>Checking ...0861</t>
        </is>
      </c>
      <c r="B432" s="29" t="n">
        <v>46212</v>
      </c>
      <c r="C432" s="9" t="inlineStr">
        <is>
          <t>THE MAHARLIKA ASIAN ST SALINAS CA    836627  07/09</t>
        </is>
      </c>
      <c r="D432" s="10" t="n">
        <v>-26.64</v>
      </c>
      <c r="E432" s="9" t="inlineStr">
        <is>
          <t>DEBIT_CARD</t>
        </is>
      </c>
      <c r="F432" s="10" t="n">
        <v>22416.35</v>
      </c>
      <c r="G432" s="9" t="inlineStr">
        <is>
          <t>Food - Eat Out</t>
        </is>
      </c>
      <c r="H432">
        <f>IFERROR(INDEX(Categories!$A$5:$A$93,MATCH(G432,Categories!$B$5:$B$93,0)),"")</f>
        <v/>
      </c>
      <c r="I432" s="9" t="inlineStr">
        <is>
          <t>D</t>
        </is>
      </c>
      <c r="J432" s="9" t="inlineStr">
        <is>
          <t>Restaurant/fast-food - defaulted to Eat Out; move to Food - Ailynn/Chris/Misc if you know whose order it was</t>
        </is>
      </c>
    </row>
    <row r="433">
      <c r="A433" s="9" t="inlineStr">
        <is>
          <t>Checking ...0861</t>
        </is>
      </c>
      <c r="B433" s="29" t="n">
        <v>46212</v>
      </c>
      <c r="C433" s="9" t="inlineStr">
        <is>
          <t>Taptap Send New York NY                      07/08</t>
        </is>
      </c>
      <c r="D433" s="10" t="n">
        <v>-18</v>
      </c>
      <c r="E433" s="9" t="inlineStr">
        <is>
          <t>DEBIT_CARD</t>
        </is>
      </c>
      <c r="F433" s="10" t="n">
        <v>22442.99</v>
      </c>
      <c r="G433" s="9" t="inlineStr">
        <is>
          <t>Remittance - others</t>
        </is>
      </c>
      <c r="H433">
        <f>IFERROR(INDEX(Categories!$A$5:$A$93,MATCH(G433,Categories!$B$5:$B$93,0)),"")</f>
        <v/>
      </c>
      <c r="I433" s="9" t="inlineStr">
        <is>
          <t>R</t>
        </is>
      </c>
      <c r="J433" s="9" t="inlineStr">
        <is>
          <t>Remittance app transfer - recipient not shown; please tell me if this is Aron, Aron's tuition, or someone else</t>
        </is>
      </c>
    </row>
    <row r="434">
      <c r="A434" s="9" t="inlineStr">
        <is>
          <t>Checking ...0861</t>
        </is>
      </c>
      <c r="B434" s="29" t="n">
        <v>46212</v>
      </c>
      <c r="C434" s="9" t="inlineStr">
        <is>
          <t>SMBS Account     TRANSFER   CPerez          WEB ID: 9039430511</t>
        </is>
      </c>
      <c r="D434" s="10" t="n">
        <v>10.72</v>
      </c>
      <c r="E434" s="9" t="inlineStr">
        <is>
          <t>MISC_CREDIT</t>
        </is>
      </c>
      <c r="F434" s="10" t="n">
        <v>22460.99</v>
      </c>
      <c r="G434" s="9" t="inlineStr">
        <is>
          <t>Transfer - Checking to SoFi/Other</t>
        </is>
      </c>
      <c r="H434">
        <f>IFERROR(INDEX(Categories!$A$5:$A$93,MATCH(G434,Categories!$B$5:$B$93,0)),"")</f>
        <v/>
      </c>
      <c r="I434" s="9" t="inlineStr">
        <is>
          <t>R</t>
        </is>
      </c>
      <c r="J434" s="9" t="inlineStr">
        <is>
          <t>Large transfer (thousands) to a SoFi/SMBS account - please confirm what this account is</t>
        </is>
      </c>
    </row>
    <row r="435">
      <c r="A435" s="9" t="inlineStr">
        <is>
          <t>Checking ...0861</t>
        </is>
      </c>
      <c r="B435" s="29" t="n">
        <v>46211</v>
      </c>
      <c r="C435" s="9" t="inlineStr">
        <is>
          <t>NOB HILL FOODS 607 SALINAS CA        155100  07/08</t>
        </is>
      </c>
      <c r="D435" s="10" t="n">
        <v>-17.84</v>
      </c>
      <c r="E435" s="9" t="inlineStr">
        <is>
          <t>DEBIT_CARD</t>
        </is>
      </c>
      <c r="F435" s="10" t="n">
        <v>22450.27</v>
      </c>
      <c r="G435" s="9" t="inlineStr">
        <is>
          <t>Groceries - Others</t>
        </is>
      </c>
      <c r="H435">
        <f>IFERROR(INDEX(Categories!$A$5:$A$93,MATCH(G435,Categories!$B$5:$B$93,0)),"")</f>
        <v/>
      </c>
      <c r="I435" s="9" t="inlineStr">
        <is>
          <t>H</t>
        </is>
      </c>
      <c r="J435" s="9" t="inlineStr"/>
    </row>
    <row r="436">
      <c r="A436" s="9" t="inlineStr">
        <is>
          <t>Checking ...0861</t>
        </is>
      </c>
      <c r="B436" s="29" t="n">
        <v>46211</v>
      </c>
      <c r="C436" s="9" t="inlineStr">
        <is>
          <t>TARGET T-1062 SAND CITY CA                   07/08</t>
        </is>
      </c>
      <c r="D436" s="10" t="n">
        <v>-32.02</v>
      </c>
      <c r="E436" s="9" t="inlineStr">
        <is>
          <t>DEBIT_CARD</t>
        </is>
      </c>
      <c r="F436" s="10" t="n">
        <v>22468.11</v>
      </c>
      <c r="G436" s="9" t="inlineStr">
        <is>
          <t>Shop - Others</t>
        </is>
      </c>
      <c r="H436">
        <f>IFERROR(INDEX(Categories!$A$5:$A$93,MATCH(G436,Categories!$B$5:$B$93,0)),"")</f>
        <v/>
      </c>
      <c r="I436" s="9" t="inlineStr">
        <is>
          <t>D</t>
        </is>
      </c>
      <c r="J436" s="9" t="inlineStr"/>
    </row>
    <row r="437">
      <c r="A437" s="9" t="inlineStr">
        <is>
          <t>Checking ...0861</t>
        </is>
      </c>
      <c r="B437" s="29" t="n">
        <v>46211</v>
      </c>
      <c r="C437" s="9" t="inlineStr">
        <is>
          <t>PIERCE CO., LP SALINAS CA                    07/08 Purchase $5.01 Cash Back $10.00</t>
        </is>
      </c>
      <c r="D437" s="10" t="n">
        <v>-15.01</v>
      </c>
      <c r="E437" s="9" t="inlineStr">
        <is>
          <t>DEBIT_CARD</t>
        </is>
      </c>
      <c r="F437" s="10" t="n">
        <v>22500.13</v>
      </c>
      <c r="G437" s="9" t="inlineStr">
        <is>
          <t>Others</t>
        </is>
      </c>
      <c r="H437">
        <f>IFERROR(INDEX(Categories!$A$5:$A$93,MATCH(G437,Categories!$B$5:$B$93,0)),"")</f>
        <v/>
      </c>
      <c r="I437" s="9" t="inlineStr">
        <is>
          <t>R</t>
        </is>
      </c>
      <c r="J437" s="9" t="inlineStr">
        <is>
          <t>Unclear what this business is</t>
        </is>
      </c>
    </row>
    <row r="438">
      <c r="A438" s="9" t="inlineStr">
        <is>
          <t>Checking ...0861</t>
        </is>
      </c>
      <c r="B438" s="29" t="n">
        <v>46211</v>
      </c>
      <c r="C438" s="9" t="inlineStr">
        <is>
          <t>CAPITAL ONE AUTO CARPAY     CP0CF0B8B6A2487 WEB ID: 9541719806</t>
        </is>
      </c>
      <c r="D438" s="10" t="n">
        <v>-709.9</v>
      </c>
      <c r="E438" s="9" t="inlineStr">
        <is>
          <t>ACH_DEBIT</t>
        </is>
      </c>
      <c r="F438" s="10" t="n">
        <v>22515.14</v>
      </c>
      <c r="G438" s="9" t="inlineStr">
        <is>
          <t>Car payment</t>
        </is>
      </c>
      <c r="H438">
        <f>IFERROR(INDEX(Categories!$A$5:$A$93,MATCH(G438,Categories!$B$5:$B$93,0)),"")</f>
        <v/>
      </c>
      <c r="I438" s="9" t="inlineStr">
        <is>
          <t>H</t>
        </is>
      </c>
      <c r="J438" s="9" t="inlineStr"/>
    </row>
    <row r="439">
      <c r="A439" s="9" t="inlineStr">
        <is>
          <t>Checking ...0861</t>
        </is>
      </c>
      <c r="B439" s="29" t="n">
        <v>46211</v>
      </c>
      <c r="C439" s="9" t="inlineStr">
        <is>
          <t>NETFLIX.COM NETFLIX.COM CA                   07/08</t>
        </is>
      </c>
      <c r="D439" s="10" t="n">
        <v>-29.98</v>
      </c>
      <c r="E439" s="9" t="inlineStr">
        <is>
          <t>DEBIT_CARD</t>
        </is>
      </c>
      <c r="F439" s="10" t="n">
        <v>23225.04</v>
      </c>
      <c r="G439" s="9" t="inlineStr">
        <is>
          <t>Netflix</t>
        </is>
      </c>
      <c r="H439">
        <f>IFERROR(INDEX(Categories!$A$5:$A$93,MATCH(G439,Categories!$B$5:$B$93,0)),"")</f>
        <v/>
      </c>
      <c r="I439" s="9" t="inlineStr">
        <is>
          <t>H</t>
        </is>
      </c>
      <c r="J439" s="9" t="inlineStr"/>
    </row>
    <row r="440">
      <c r="A440" s="9" t="inlineStr">
        <is>
          <t>Checking ...0861</t>
        </is>
      </c>
      <c r="B440" s="29" t="n">
        <v>46211</v>
      </c>
      <c r="C440" s="9" t="inlineStr">
        <is>
          <t>WAL-MART #4488 MARINA CA                     07/07</t>
        </is>
      </c>
      <c r="D440" s="10" t="n">
        <v>-107.37</v>
      </c>
      <c r="E440" s="9" t="inlineStr">
        <is>
          <t>DEBIT_CARD</t>
        </is>
      </c>
      <c r="F440" s="10" t="n">
        <v>23255.02</v>
      </c>
      <c r="G440" s="9" t="inlineStr">
        <is>
          <t>Groceries - Walmart</t>
        </is>
      </c>
      <c r="H440">
        <f>IFERROR(INDEX(Categories!$A$5:$A$93,MATCH(G440,Categories!$B$5:$B$93,0)),"")</f>
        <v/>
      </c>
      <c r="I440" s="9" t="inlineStr">
        <is>
          <t>H</t>
        </is>
      </c>
      <c r="J440" s="9" t="inlineStr"/>
    </row>
    <row r="441">
      <c r="A441" s="9" t="inlineStr">
        <is>
          <t>Checking ...0861</t>
        </is>
      </c>
      <c r="B441" s="29" t="n">
        <v>46211</v>
      </c>
      <c r="C441" s="9" t="inlineStr">
        <is>
          <t>MONTEREY DNTWN GARAGES 8316463953 CA         07/07</t>
        </is>
      </c>
      <c r="D441" s="10" t="n">
        <v>-2</v>
      </c>
      <c r="E441" s="9" t="inlineStr">
        <is>
          <t>DEBIT_CARD</t>
        </is>
      </c>
      <c r="F441" s="10" t="n">
        <v>23362.39</v>
      </c>
      <c r="G441" s="9" t="inlineStr">
        <is>
          <t>For Car</t>
        </is>
      </c>
      <c r="H441">
        <f>IFERROR(INDEX(Categories!$A$5:$A$93,MATCH(G441,Categories!$B$5:$B$93,0)),"")</f>
        <v/>
      </c>
      <c r="I441" s="9" t="inlineStr">
        <is>
          <t>D</t>
        </is>
      </c>
      <c r="J441" s="9" t="inlineStr">
        <is>
          <t>Parking charge, defaulted to For Car</t>
        </is>
      </c>
    </row>
    <row r="442">
      <c r="A442" s="9" t="inlineStr">
        <is>
          <t>Checking ...0861</t>
        </is>
      </c>
      <c r="B442" s="29" t="n">
        <v>46211</v>
      </c>
      <c r="C442" s="9" t="inlineStr">
        <is>
          <t>MANASIRI'S CREPES &amp; SAN MONTEREY CA          07/07</t>
        </is>
      </c>
      <c r="D442" s="10" t="n">
        <v>-22.59</v>
      </c>
      <c r="E442" s="9" t="inlineStr">
        <is>
          <t>DEBIT_CARD</t>
        </is>
      </c>
      <c r="F442" s="10" t="n">
        <v>23364.39</v>
      </c>
      <c r="G442" s="9" t="inlineStr">
        <is>
          <t>Food - Eat Out</t>
        </is>
      </c>
      <c r="H442">
        <f>IFERROR(INDEX(Categories!$A$5:$A$93,MATCH(G442,Categories!$B$5:$B$93,0)),"")</f>
        <v/>
      </c>
      <c r="I442" s="9" t="inlineStr">
        <is>
          <t>D</t>
        </is>
      </c>
      <c r="J442" s="9" t="inlineStr">
        <is>
          <t>Restaurant/fast-food - defaulted to Eat Out; move to Food - Ailynn/Chris/Misc if you know whose order it was</t>
        </is>
      </c>
    </row>
    <row r="443">
      <c r="A443" s="9" t="inlineStr">
        <is>
          <t>Checking ...0861</t>
        </is>
      </c>
      <c r="B443" s="29" t="n">
        <v>46211</v>
      </c>
      <c r="C443" s="9" t="inlineStr">
        <is>
          <t>TST*ALVARADO STREET BRE Monterey CA          07/07</t>
        </is>
      </c>
      <c r="D443" s="10" t="n">
        <v>-100</v>
      </c>
      <c r="E443" s="9" t="inlineStr">
        <is>
          <t>DEBIT_CARD</t>
        </is>
      </c>
      <c r="F443" s="10" t="n">
        <v>23386.98</v>
      </c>
      <c r="G443" s="9" t="inlineStr">
        <is>
          <t>Food - Eat Out</t>
        </is>
      </c>
      <c r="H443">
        <f>IFERROR(INDEX(Categories!$A$5:$A$93,MATCH(G443,Categories!$B$5:$B$93,0)),"")</f>
        <v/>
      </c>
      <c r="I443" s="9" t="inlineStr">
        <is>
          <t>D</t>
        </is>
      </c>
      <c r="J443" s="9" t="inlineStr"/>
    </row>
    <row r="444">
      <c r="A444" s="9" t="inlineStr">
        <is>
          <t>Checking ...0861</t>
        </is>
      </c>
      <c r="B444" s="29" t="n">
        <v>46211</v>
      </c>
      <c r="C444" s="9" t="inlineStr">
        <is>
          <t>SQ *TAEVADA TREATS Seaside CA                07/07</t>
        </is>
      </c>
      <c r="D444" s="10" t="n">
        <v>-21</v>
      </c>
      <c r="E444" s="9" t="inlineStr">
        <is>
          <t>DEBIT_CARD</t>
        </is>
      </c>
      <c r="F444" s="10" t="n">
        <v>23486.98</v>
      </c>
      <c r="G444" s="9" t="inlineStr">
        <is>
          <t>Food - Eat Out</t>
        </is>
      </c>
      <c r="H444">
        <f>IFERROR(INDEX(Categories!$A$5:$A$93,MATCH(G444,Categories!$B$5:$B$93,0)),"")</f>
        <v/>
      </c>
      <c r="I444" s="9" t="inlineStr">
        <is>
          <t>D</t>
        </is>
      </c>
      <c r="J444" s="9" t="inlineStr"/>
    </row>
    <row r="445">
      <c r="A445" s="9" t="inlineStr">
        <is>
          <t>Checking ...0861</t>
        </is>
      </c>
      <c r="B445" s="29" t="n">
        <v>46211</v>
      </c>
      <c r="C445" s="9" t="inlineStr">
        <is>
          <t>Primo Water Corporatio Vista CA              07/07</t>
        </is>
      </c>
      <c r="D445" s="10" t="n">
        <v>-3.1</v>
      </c>
      <c r="E445" s="9" t="inlineStr">
        <is>
          <t>DEBIT_CARD</t>
        </is>
      </c>
      <c r="F445" s="10" t="n">
        <v>23507.98</v>
      </c>
      <c r="G445" s="9" t="inlineStr">
        <is>
          <t>Water</t>
        </is>
      </c>
      <c r="H445">
        <f>IFERROR(INDEX(Categories!$A$5:$A$93,MATCH(G445,Categories!$B$5:$B$93,0)),"")</f>
        <v/>
      </c>
      <c r="I445" s="9" t="inlineStr">
        <is>
          <t>H</t>
        </is>
      </c>
      <c r="J445" s="9" t="inlineStr"/>
    </row>
    <row r="446">
      <c r="A446" s="9" t="inlineStr">
        <is>
          <t>Checking ...0861</t>
        </is>
      </c>
      <c r="B446" s="29" t="n">
        <v>46211</v>
      </c>
      <c r="C446" s="9" t="inlineStr">
        <is>
          <t>Primo Water Corporatio Vista CA              07/07</t>
        </is>
      </c>
      <c r="D446" s="10" t="n">
        <v>-3.1</v>
      </c>
      <c r="E446" s="9" t="inlineStr">
        <is>
          <t>DEBIT_CARD</t>
        </is>
      </c>
      <c r="F446" s="10" t="n">
        <v>23511.08</v>
      </c>
      <c r="G446" s="9" t="inlineStr">
        <is>
          <t>Water</t>
        </is>
      </c>
      <c r="H446">
        <f>IFERROR(INDEX(Categories!$A$5:$A$93,MATCH(G446,Categories!$B$5:$B$93,0)),"")</f>
        <v/>
      </c>
      <c r="I446" s="9" t="inlineStr">
        <is>
          <t>H</t>
        </is>
      </c>
      <c r="J446" s="9" t="inlineStr"/>
    </row>
    <row r="447">
      <c r="A447" s="9" t="inlineStr">
        <is>
          <t>Checking ...0861</t>
        </is>
      </c>
      <c r="B447" s="29" t="n">
        <v>46211</v>
      </c>
      <c r="C447" s="9" t="inlineStr">
        <is>
          <t>Zelle payment from RHIAN ABIGAIL ALMO 29923876546</t>
        </is>
      </c>
      <c r="D447" s="10" t="n">
        <v>25</v>
      </c>
      <c r="E447" s="9" t="inlineStr">
        <is>
          <t>QUICKPAY_CREDIT</t>
        </is>
      </c>
      <c r="F447" s="10" t="n">
        <v>23514.18</v>
      </c>
      <c r="G447" s="9" t="inlineStr">
        <is>
          <t>Others - Income</t>
        </is>
      </c>
      <c r="H447">
        <f>IFERROR(INDEX(Categories!$A$5:$A$93,MATCH(G447,Categories!$B$5:$B$93,0)),"")</f>
        <v/>
      </c>
      <c r="I447" s="9" t="inlineStr">
        <is>
          <t>R</t>
        </is>
      </c>
      <c r="J447" s="9" t="inlineStr">
        <is>
          <t>Zelle received - please tell me who this person is so I can map them to a category</t>
        </is>
      </c>
    </row>
    <row r="448">
      <c r="A448" s="9" t="inlineStr">
        <is>
          <t>Checking ...0861</t>
        </is>
      </c>
      <c r="B448" s="29" t="n">
        <v>46211</v>
      </c>
      <c r="C448" s="9" t="inlineStr">
        <is>
          <t>JOSE REYES REYES PUSH       T42659917-2     CCD ID: 1522304924</t>
        </is>
      </c>
      <c r="D448" s="10" t="n">
        <v>800</v>
      </c>
      <c r="E448" s="9" t="inlineStr">
        <is>
          <t>ACH_CREDIT</t>
        </is>
      </c>
      <c r="F448" s="10" t="n">
        <v>23489.18</v>
      </c>
      <c r="G448" s="9" t="inlineStr">
        <is>
          <t>Others - Income</t>
        </is>
      </c>
      <c r="H448">
        <f>IFERROR(INDEX(Categories!$A$5:$A$93,MATCH(G448,Categories!$B$5:$B$93,0)),"")</f>
        <v/>
      </c>
      <c r="I448" s="9" t="inlineStr">
        <is>
          <t>R</t>
        </is>
      </c>
      <c r="J448" s="9" t="inlineStr">
        <is>
          <t>Incoming payment, source unclear</t>
        </is>
      </c>
    </row>
    <row r="449">
      <c r="A449" s="9" t="inlineStr">
        <is>
          <t>Checking ...0861</t>
        </is>
      </c>
      <c r="B449" s="29" t="n">
        <v>46211</v>
      </c>
      <c r="C449" s="9" t="inlineStr">
        <is>
          <t>SMBS Account     TRANSFER   CPerez          WEB ID: 9039430511</t>
        </is>
      </c>
      <c r="D449" s="10" t="n">
        <v>20065.29</v>
      </c>
      <c r="E449" s="9" t="inlineStr">
        <is>
          <t>ACH_CREDIT</t>
        </is>
      </c>
      <c r="F449" s="10" t="n">
        <v>22689.18</v>
      </c>
      <c r="G449" s="9" t="inlineStr">
        <is>
          <t>Transfer - Checking to SoFi/Other</t>
        </is>
      </c>
      <c r="H449">
        <f>IFERROR(INDEX(Categories!$A$5:$A$93,MATCH(G449,Categories!$B$5:$B$93,0)),"")</f>
        <v/>
      </c>
      <c r="I449" s="9" t="inlineStr">
        <is>
          <t>R</t>
        </is>
      </c>
      <c r="J449" s="9" t="inlineStr">
        <is>
          <t>Large transfer (thousands) to a SoFi/SMBS account - please confirm what this account is</t>
        </is>
      </c>
    </row>
    <row r="450">
      <c r="A450" s="9" t="inlineStr">
        <is>
          <t>Checking ...0861</t>
        </is>
      </c>
      <c r="B450" s="29" t="n">
        <v>46211</v>
      </c>
      <c r="C450" s="9" t="inlineStr">
        <is>
          <t>WHATNOT SAN FRANCISCO CA                     07/07</t>
        </is>
      </c>
      <c r="D450" s="10" t="n">
        <v>27.19</v>
      </c>
      <c r="E450" s="9" t="inlineStr">
        <is>
          <t>DEBIT_CARD</t>
        </is>
      </c>
      <c r="F450" s="10" t="n">
        <v>2623.89</v>
      </c>
      <c r="G450" s="9" t="inlineStr">
        <is>
          <t>Shop - Whatnot</t>
        </is>
      </c>
      <c r="H450">
        <f>IFERROR(INDEX(Categories!$A$5:$A$93,MATCH(G450,Categories!$B$5:$B$93,0)),"")</f>
        <v/>
      </c>
      <c r="I450" s="9" t="inlineStr">
        <is>
          <t>H</t>
        </is>
      </c>
      <c r="J450" s="9" t="inlineStr"/>
    </row>
    <row r="451">
      <c r="A451" s="9" t="inlineStr">
        <is>
          <t>Checking ...0861</t>
        </is>
      </c>
      <c r="B451" s="29" t="n">
        <v>46211</v>
      </c>
      <c r="C451" s="9" t="inlineStr">
        <is>
          <t>WHATNOT SAN FRANCISCO CA                     07/07</t>
        </is>
      </c>
      <c r="D451" s="10" t="n">
        <v>34.07</v>
      </c>
      <c r="E451" s="9" t="inlineStr">
        <is>
          <t>DEBIT_CARD</t>
        </is>
      </c>
      <c r="F451" s="10" t="n">
        <v>2596.7</v>
      </c>
      <c r="G451" s="9" t="inlineStr">
        <is>
          <t>Shop - Whatnot</t>
        </is>
      </c>
      <c r="H451">
        <f>IFERROR(INDEX(Categories!$A$5:$A$93,MATCH(G451,Categories!$B$5:$B$93,0)),"")</f>
        <v/>
      </c>
      <c r="I451" s="9" t="inlineStr">
        <is>
          <t>H</t>
        </is>
      </c>
      <c r="J451" s="9" t="inlineStr"/>
    </row>
    <row r="452">
      <c r="A452" s="9" t="inlineStr">
        <is>
          <t>Checking ...0861</t>
        </is>
      </c>
      <c r="B452" s="29" t="n">
        <v>46211</v>
      </c>
      <c r="C452" s="9" t="inlineStr">
        <is>
          <t>WHATNOT SAN FRANCISCO CA                     07/07</t>
        </is>
      </c>
      <c r="D452" s="10" t="n">
        <v>39.07</v>
      </c>
      <c r="E452" s="9" t="inlineStr">
        <is>
          <t>DEBIT_CARD</t>
        </is>
      </c>
      <c r="F452" s="10" t="n">
        <v>2562.63</v>
      </c>
      <c r="G452" s="9" t="inlineStr">
        <is>
          <t>Shop - Whatnot</t>
        </is>
      </c>
      <c r="H452">
        <f>IFERROR(INDEX(Categories!$A$5:$A$93,MATCH(G452,Categories!$B$5:$B$93,0)),"")</f>
        <v/>
      </c>
      <c r="I452" s="9" t="inlineStr">
        <is>
          <t>H</t>
        </is>
      </c>
      <c r="J452" s="9" t="inlineStr"/>
    </row>
    <row r="453">
      <c r="A453" s="9" t="inlineStr">
        <is>
          <t>Checking ...0861</t>
        </is>
      </c>
      <c r="B453" s="29" t="n">
        <v>46211</v>
      </c>
      <c r="C453" s="9" t="inlineStr">
        <is>
          <t>WHATNOT SAN FRANCISCO CA                     07/07</t>
        </is>
      </c>
      <c r="D453" s="10" t="n">
        <v>42.81</v>
      </c>
      <c r="E453" s="9" t="inlineStr">
        <is>
          <t>DEBIT_CARD</t>
        </is>
      </c>
      <c r="F453" s="10" t="n">
        <v>2523.56</v>
      </c>
      <c r="G453" s="9" t="inlineStr">
        <is>
          <t>Shop - Whatnot</t>
        </is>
      </c>
      <c r="H453">
        <f>IFERROR(INDEX(Categories!$A$5:$A$93,MATCH(G453,Categories!$B$5:$B$93,0)),"")</f>
        <v/>
      </c>
      <c r="I453" s="9" t="inlineStr">
        <is>
          <t>H</t>
        </is>
      </c>
      <c r="J453" s="9" t="inlineStr"/>
    </row>
    <row r="454">
      <c r="A454" s="9" t="inlineStr">
        <is>
          <t>Checking ...0861</t>
        </is>
      </c>
      <c r="B454" s="29" t="n">
        <v>46210</v>
      </c>
      <c r="C454" s="9" t="inlineStr">
        <is>
          <t>Zelle payment to KYLE KROMER JPM99coopvat</t>
        </is>
      </c>
      <c r="D454" s="10" t="n">
        <v>-100</v>
      </c>
      <c r="E454" s="9" t="inlineStr">
        <is>
          <t>CHASE_TO_PARTNERFI</t>
        </is>
      </c>
      <c r="F454" s="10" t="n">
        <v>2480.75</v>
      </c>
      <c r="G454" s="9" t="inlineStr">
        <is>
          <t>Others</t>
        </is>
      </c>
      <c r="H454">
        <f>IFERROR(INDEX(Categories!$A$5:$A$93,MATCH(G454,Categories!$B$5:$B$93,0)),"")</f>
        <v/>
      </c>
      <c r="I454" s="9" t="inlineStr">
        <is>
          <t>R</t>
        </is>
      </c>
      <c r="J454" s="9" t="inlineStr">
        <is>
          <t>Zelle sent - please tell me who this person is so I can map them to a category</t>
        </is>
      </c>
    </row>
    <row r="455">
      <c r="A455" s="9" t="inlineStr">
        <is>
          <t>Checking ...0861</t>
        </is>
      </c>
      <c r="B455" s="29" t="n">
        <v>46210</v>
      </c>
      <c r="C455" s="9" t="inlineStr">
        <is>
          <t>Zelle payment to KYLE KROMER JPM99coo009q</t>
        </is>
      </c>
      <c r="D455" s="10" t="n">
        <v>-200</v>
      </c>
      <c r="E455" s="9" t="inlineStr">
        <is>
          <t>CHASE_TO_PARTNERFI</t>
        </is>
      </c>
      <c r="F455" s="10" t="n">
        <v>2580.75</v>
      </c>
      <c r="G455" s="9" t="inlineStr">
        <is>
          <t>Others</t>
        </is>
      </c>
      <c r="H455">
        <f>IFERROR(INDEX(Categories!$A$5:$A$93,MATCH(G455,Categories!$B$5:$B$93,0)),"")</f>
        <v/>
      </c>
      <c r="I455" s="9" t="inlineStr">
        <is>
          <t>R</t>
        </is>
      </c>
      <c r="J455" s="9" t="inlineStr">
        <is>
          <t>Zelle sent - please tell me who this person is so I can map them to a category</t>
        </is>
      </c>
    </row>
    <row r="456">
      <c r="A456" s="9" t="inlineStr">
        <is>
          <t>Checking ...0861</t>
        </is>
      </c>
      <c r="B456" s="29" t="n">
        <v>46210</v>
      </c>
      <c r="C456" s="9" t="inlineStr">
        <is>
          <t>CHECK 358  07/07</t>
        </is>
      </c>
      <c r="D456" s="10" t="n">
        <v>-2200</v>
      </c>
      <c r="E456" s="9" t="inlineStr">
        <is>
          <t>CHECK_PAID</t>
        </is>
      </c>
      <c r="F456" s="10" t="n">
        <v>2780.75</v>
      </c>
      <c r="G456" s="9" t="inlineStr">
        <is>
          <t>Others</t>
        </is>
      </c>
      <c r="H456">
        <f>IFERROR(INDEX(Categories!$A$5:$A$93,MATCH(G456,Categories!$B$5:$B$93,0)),"")</f>
        <v/>
      </c>
      <c r="I456" s="9" t="inlineStr">
        <is>
          <t>R</t>
        </is>
      </c>
      <c r="J456" s="9" t="inlineStr">
        <is>
          <t>Paper check - payee not shown on the statement; please tell me who checks were written to</t>
        </is>
      </c>
    </row>
    <row r="457">
      <c r="A457" s="9" t="inlineStr">
        <is>
          <t>Checking ...0861</t>
        </is>
      </c>
      <c r="B457" s="29" t="n">
        <v>46210</v>
      </c>
      <c r="C457" s="9" t="inlineStr">
        <is>
          <t>CALWATER SERVICE BILLPAY                    PPD ID: 0000000160</t>
        </is>
      </c>
      <c r="D457" s="10" t="n">
        <v>-47.8</v>
      </c>
      <c r="E457" s="9" t="inlineStr">
        <is>
          <t>ACH_DEBIT</t>
        </is>
      </c>
      <c r="F457" s="10" t="n">
        <v>4980.75</v>
      </c>
      <c r="G457" s="9" t="inlineStr">
        <is>
          <t>Cal Water</t>
        </is>
      </c>
      <c r="H457">
        <f>IFERROR(INDEX(Categories!$A$5:$A$93,MATCH(G457,Categories!$B$5:$B$93,0)),"")</f>
        <v/>
      </c>
      <c r="I457" s="9" t="inlineStr">
        <is>
          <t>H</t>
        </is>
      </c>
      <c r="J457" s="9" t="inlineStr"/>
    </row>
    <row r="458">
      <c r="A458" s="9" t="inlineStr">
        <is>
          <t>Checking ...0861</t>
        </is>
      </c>
      <c r="B458" s="29" t="n">
        <v>46210</v>
      </c>
      <c r="C458" s="9" t="inlineStr">
        <is>
          <t>SAFEWAY #1110 SALINAS CA                     07/06</t>
        </is>
      </c>
      <c r="D458" s="10" t="n">
        <v>-79.95999999999999</v>
      </c>
      <c r="E458" s="9" t="inlineStr">
        <is>
          <t>DEBIT_CARD</t>
        </is>
      </c>
      <c r="F458" s="10" t="n">
        <v>5028.55</v>
      </c>
      <c r="G458" s="9" t="inlineStr">
        <is>
          <t>Groceries - Safeway</t>
        </is>
      </c>
      <c r="H458">
        <f>IFERROR(INDEX(Categories!$A$5:$A$93,MATCH(G458,Categories!$B$5:$B$93,0)),"")</f>
        <v/>
      </c>
      <c r="I458" s="9" t="inlineStr">
        <is>
          <t>H</t>
        </is>
      </c>
      <c r="J458" s="9" t="inlineStr"/>
    </row>
    <row r="459">
      <c r="A459" s="9" t="inlineStr">
        <is>
          <t>Checking ...0861</t>
        </is>
      </c>
      <c r="B459" s="29" t="n">
        <v>46210</v>
      </c>
      <c r="C459" s="9" t="inlineStr">
        <is>
          <t>USPS CHANGE OF ADDRES 800-238-3150 TN        07/06</t>
        </is>
      </c>
      <c r="D459" s="10" t="n">
        <v>-1.25</v>
      </c>
      <c r="E459" s="9" t="inlineStr">
        <is>
          <t>DEBIT_CARD</t>
        </is>
      </c>
      <c r="F459" s="10" t="n">
        <v>5108.51</v>
      </c>
      <c r="G459" s="9" t="inlineStr">
        <is>
          <t>Others</t>
        </is>
      </c>
      <c r="H459">
        <f>IFERROR(INDEX(Categories!$A$5:$A$93,MATCH(G459,Categories!$B$5:$B$93,0)),"")</f>
        <v/>
      </c>
      <c r="I459" s="9" t="inlineStr">
        <is>
          <t>D</t>
        </is>
      </c>
      <c r="J459" s="9" t="inlineStr">
        <is>
          <t>Shipping/postal</t>
        </is>
      </c>
    </row>
    <row r="460">
      <c r="A460" s="9" t="inlineStr">
        <is>
          <t>Checking ...0861</t>
        </is>
      </c>
      <c r="B460" s="29" t="n">
        <v>46209</v>
      </c>
      <c r="C460" s="9" t="inlineStr">
        <is>
          <t>CHECK 357</t>
        </is>
      </c>
      <c r="D460" s="10" t="n">
        <v>-500</v>
      </c>
      <c r="E460" s="9" t="inlineStr">
        <is>
          <t>CHECK_PAID</t>
        </is>
      </c>
      <c r="F460" s="10" t="n">
        <v>5109.76</v>
      </c>
      <c r="G460" s="9" t="inlineStr">
        <is>
          <t>Others</t>
        </is>
      </c>
      <c r="H460">
        <f>IFERROR(INDEX(Categories!$A$5:$A$93,MATCH(G460,Categories!$B$5:$B$93,0)),"")</f>
        <v/>
      </c>
      <c r="I460" s="9" t="inlineStr">
        <is>
          <t>R</t>
        </is>
      </c>
      <c r="J460" s="9" t="inlineStr">
        <is>
          <t>Paper check - payee not shown on the statement; please tell me who checks were written to</t>
        </is>
      </c>
    </row>
    <row r="461">
      <c r="A461" s="9" t="inlineStr">
        <is>
          <t>Checking ...0861</t>
        </is>
      </c>
      <c r="B461" s="29" t="n">
        <v>46209</v>
      </c>
      <c r="C461" s="9" t="inlineStr">
        <is>
          <t>T.J. MAXX #1604 HOLLISTER CA                 07/06</t>
        </is>
      </c>
      <c r="D461" s="10" t="n">
        <v>-103.07</v>
      </c>
      <c r="E461" s="9" t="inlineStr">
        <is>
          <t>DEBIT_CARD</t>
        </is>
      </c>
      <c r="F461" s="10" t="n">
        <v>5609.76</v>
      </c>
      <c r="G461" s="9" t="inlineStr">
        <is>
          <t>Shop - Others</t>
        </is>
      </c>
      <c r="H461">
        <f>IFERROR(INDEX(Categories!$A$5:$A$93,MATCH(G461,Categories!$B$5:$B$93,0)),"")</f>
        <v/>
      </c>
      <c r="I461" s="9" t="inlineStr">
        <is>
          <t>D</t>
        </is>
      </c>
      <c r="J461" s="9" t="inlineStr"/>
    </row>
    <row r="462">
      <c r="A462" s="9" t="inlineStr">
        <is>
          <t>Checking ...0861</t>
        </is>
      </c>
      <c r="B462" s="29" t="n">
        <v>46209</v>
      </c>
      <c r="C462" s="9" t="inlineStr">
        <is>
          <t>IN-N-OUT NEWHALL NEWHALL CA                  07/05</t>
        </is>
      </c>
      <c r="D462" s="10" t="n">
        <v>-41.43</v>
      </c>
      <c r="E462" s="9" t="inlineStr">
        <is>
          <t>DEBIT_CARD</t>
        </is>
      </c>
      <c r="F462" s="10" t="n">
        <v>5712.83</v>
      </c>
      <c r="G462" s="9" t="inlineStr">
        <is>
          <t>Food - Eat Out</t>
        </is>
      </c>
      <c r="H462">
        <f>IFERROR(INDEX(Categories!$A$5:$A$93,MATCH(G462,Categories!$B$5:$B$93,0)),"")</f>
        <v/>
      </c>
      <c r="I462" s="9" t="inlineStr">
        <is>
          <t>D</t>
        </is>
      </c>
      <c r="J462" s="9" t="inlineStr">
        <is>
          <t>Restaurant/fast-food - defaulted to Eat Out; move to Food - Ailynn/Chris/Misc if you know whose order it was</t>
        </is>
      </c>
    </row>
    <row r="463">
      <c r="A463" s="9" t="inlineStr">
        <is>
          <t>Checking ...0861</t>
        </is>
      </c>
      <c r="B463" s="29" t="n">
        <v>46209</v>
      </c>
      <c r="C463" s="9" t="inlineStr">
        <is>
          <t>EXXON NEWHALL PETROLEUM NEWHALL CA           07/05</t>
        </is>
      </c>
      <c r="D463" s="10" t="n">
        <v>-59.58</v>
      </c>
      <c r="E463" s="9" t="inlineStr">
        <is>
          <t>DEBIT_CARD</t>
        </is>
      </c>
      <c r="F463" s="10" t="n">
        <v>5754.26</v>
      </c>
      <c r="G463" s="9" t="inlineStr">
        <is>
          <t>Gas</t>
        </is>
      </c>
      <c r="H463">
        <f>IFERROR(INDEX(Categories!$A$5:$A$93,MATCH(G463,Categories!$B$5:$B$93,0)),"")</f>
        <v/>
      </c>
      <c r="I463" s="9" t="inlineStr">
        <is>
          <t>D</t>
        </is>
      </c>
      <c r="J463" s="9" t="inlineStr"/>
    </row>
    <row r="464">
      <c r="A464" s="9" t="inlineStr">
        <is>
          <t>Checking ...0861</t>
        </is>
      </c>
      <c r="B464" s="29" t="n">
        <v>46209</v>
      </c>
      <c r="C464" s="9" t="inlineStr">
        <is>
          <t>KIPLING #5515 CARLSBAD CA                    07/05</t>
        </is>
      </c>
      <c r="D464" s="10" t="n">
        <v>-31</v>
      </c>
      <c r="E464" s="9" t="inlineStr">
        <is>
          <t>DEBIT_CARD</t>
        </is>
      </c>
      <c r="F464" s="10" t="n">
        <v>5813.84</v>
      </c>
      <c r="G464" s="9" t="inlineStr">
        <is>
          <t>Shop - Others</t>
        </is>
      </c>
      <c r="H464">
        <f>IFERROR(INDEX(Categories!$A$5:$A$93,MATCH(G464,Categories!$B$5:$B$93,0)),"")</f>
        <v/>
      </c>
      <c r="I464" s="9" t="inlineStr">
        <is>
          <t>D</t>
        </is>
      </c>
      <c r="J464" s="9" t="inlineStr"/>
    </row>
    <row r="465">
      <c r="A465" s="9" t="inlineStr">
        <is>
          <t>Checking ...0861</t>
        </is>
      </c>
      <c r="B465" s="29" t="n">
        <v>46209</v>
      </c>
      <c r="C465" s="9" t="inlineStr">
        <is>
          <t>GIV*FIRST PRESBY 831-4227811 CA              07/05</t>
        </is>
      </c>
      <c r="D465" s="10" t="n">
        <v>-20</v>
      </c>
      <c r="E465" s="9" t="inlineStr">
        <is>
          <t>DEBIT_CARD</t>
        </is>
      </c>
      <c r="F465" s="10" t="n">
        <v>5844.84</v>
      </c>
      <c r="G465" s="9" t="inlineStr">
        <is>
          <t>Others</t>
        </is>
      </c>
      <c r="H465">
        <f>IFERROR(INDEX(Categories!$A$5:$A$93,MATCH(G465,Categories!$B$5:$B$93,0)),"")</f>
        <v/>
      </c>
      <c r="I465" s="9" t="inlineStr">
        <is>
          <t>H</t>
        </is>
      </c>
      <c r="J465" s="9" t="inlineStr">
        <is>
          <t>Recurring $20 church/charitable giving - no matching category in your list, put under Others</t>
        </is>
      </c>
    </row>
    <row r="466">
      <c r="A466" s="9" t="inlineStr">
        <is>
          <t>Checking ...0861</t>
        </is>
      </c>
      <c r="B466" s="29" t="n">
        <v>46209</v>
      </c>
      <c r="C466" s="9" t="inlineStr">
        <is>
          <t>AMAZON PRIME*X838Q6A Amzn.com/bill WA        07/05</t>
        </is>
      </c>
      <c r="D466" s="10" t="n">
        <v>-16.3</v>
      </c>
      <c r="E466" s="9" t="inlineStr">
        <is>
          <t>DEBIT_CARD</t>
        </is>
      </c>
      <c r="F466" s="10" t="n">
        <v>5864.84</v>
      </c>
      <c r="G466" s="9" t="inlineStr">
        <is>
          <t>Amazon Prime</t>
        </is>
      </c>
      <c r="H466">
        <f>IFERROR(INDEX(Categories!$A$5:$A$93,MATCH(G466,Categories!$B$5:$B$93,0)),"")</f>
        <v/>
      </c>
      <c r="I466" s="9" t="inlineStr">
        <is>
          <t>H</t>
        </is>
      </c>
      <c r="J466" s="9" t="inlineStr"/>
    </row>
    <row r="467">
      <c r="A467" s="9" t="inlineStr">
        <is>
          <t>Checking ...0861</t>
        </is>
      </c>
      <c r="B467" s="29" t="n">
        <v>46209</v>
      </c>
      <c r="C467" s="9" t="inlineStr">
        <is>
          <t>SQ *ARTESANIAS HECHAS CHULA VISTA CA         07/04</t>
        </is>
      </c>
      <c r="D467" s="10" t="n">
        <v>-25.86</v>
      </c>
      <c r="E467" s="9" t="inlineStr">
        <is>
          <t>DEBIT_CARD</t>
        </is>
      </c>
      <c r="F467" s="10" t="n">
        <v>5881.14</v>
      </c>
      <c r="G467" s="9" t="inlineStr">
        <is>
          <t>Food - Eat Out</t>
        </is>
      </c>
      <c r="H467">
        <f>IFERROR(INDEX(Categories!$A$5:$A$93,MATCH(G467,Categories!$B$5:$B$93,0)),"")</f>
        <v/>
      </c>
      <c r="I467" s="9" t="inlineStr">
        <is>
          <t>D</t>
        </is>
      </c>
      <c r="J467" s="9" t="inlineStr"/>
    </row>
    <row r="468">
      <c r="A468" s="9" t="inlineStr">
        <is>
          <t>Checking ...0861</t>
        </is>
      </c>
      <c r="B468" s="29" t="n">
        <v>46209</v>
      </c>
      <c r="C468" s="9" t="inlineStr">
        <is>
          <t>SSA - USS MIDWAY SAN DIEGO CA                07/04</t>
        </is>
      </c>
      <c r="D468" s="10" t="n">
        <v>-41.99</v>
      </c>
      <c r="E468" s="9" t="inlineStr">
        <is>
          <t>DEBIT_CARD</t>
        </is>
      </c>
      <c r="F468" s="10" t="n">
        <v>5907</v>
      </c>
      <c r="G468" s="9" t="inlineStr">
        <is>
          <t>Vacation</t>
        </is>
      </c>
      <c r="H468">
        <f>IFERROR(INDEX(Categories!$A$5:$A$93,MATCH(G468,Categories!$B$5:$B$93,0)),"")</f>
        <v/>
      </c>
      <c r="I468" s="9" t="inlineStr">
        <is>
          <t>D</t>
        </is>
      </c>
      <c r="J468" s="9" t="inlineStr">
        <is>
          <t>Hotel/travel-city charge, looks like part of a trip</t>
        </is>
      </c>
    </row>
    <row r="469">
      <c r="A469" s="9" t="inlineStr">
        <is>
          <t>Checking ...0861</t>
        </is>
      </c>
      <c r="B469" s="29" t="n">
        <v>46209</v>
      </c>
      <c r="C469" s="9" t="inlineStr">
        <is>
          <t>CHEVRON 0095664 ENCINITAS CA                 07/04</t>
        </is>
      </c>
      <c r="D469" s="10" t="n">
        <v>-74.72</v>
      </c>
      <c r="E469" s="9" t="inlineStr">
        <is>
          <t>DEBIT_CARD</t>
        </is>
      </c>
      <c r="F469" s="10" t="n">
        <v>5948.99</v>
      </c>
      <c r="G469" s="9" t="inlineStr">
        <is>
          <t>Gas</t>
        </is>
      </c>
      <c r="H469">
        <f>IFERROR(INDEX(Categories!$A$5:$A$93,MATCH(G469,Categories!$B$5:$B$93,0)),"")</f>
        <v/>
      </c>
      <c r="I469" s="9" t="inlineStr">
        <is>
          <t>D</t>
        </is>
      </c>
      <c r="J469" s="9" t="inlineStr"/>
    </row>
    <row r="470">
      <c r="A470" s="9" t="inlineStr">
        <is>
          <t>Checking ...0861</t>
        </is>
      </c>
      <c r="B470" s="29" t="n">
        <v>46209</v>
      </c>
      <c r="C470" s="9" t="inlineStr">
        <is>
          <t>CSI-095664/1943- ENCINITAS CA        242372  07/04</t>
        </is>
      </c>
      <c r="D470" s="10" t="n">
        <v>-18.91</v>
      </c>
      <c r="E470" s="9" t="inlineStr">
        <is>
          <t>DEBIT_CARD</t>
        </is>
      </c>
      <c r="F470" s="10" t="n">
        <v>6023.71</v>
      </c>
      <c r="G470" s="9" t="inlineStr">
        <is>
          <t>Vacation</t>
        </is>
      </c>
      <c r="H470">
        <f>IFERROR(INDEX(Categories!$A$5:$A$93,MATCH(G470,Categories!$B$5:$B$93,0)),"")</f>
        <v/>
      </c>
      <c r="I470" s="9" t="inlineStr">
        <is>
          <t>D</t>
        </is>
      </c>
      <c r="J470" s="9" t="inlineStr">
        <is>
          <t>Hotel/travel-city charge, looks like part of a trip</t>
        </is>
      </c>
    </row>
    <row r="471">
      <c r="A471" s="9" t="inlineStr">
        <is>
          <t>Checking ...0861</t>
        </is>
      </c>
      <c r="B471" s="29" t="n">
        <v>46209</v>
      </c>
      <c r="C471" s="9" t="inlineStr">
        <is>
          <t>GROUPON, INC. 312-2422019 IL                 07/04</t>
        </is>
      </c>
      <c r="D471" s="10" t="n">
        <v>-159.09</v>
      </c>
      <c r="E471" s="9" t="inlineStr">
        <is>
          <t>DEBIT_CARD</t>
        </is>
      </c>
      <c r="F471" s="10" t="n">
        <v>6042.62</v>
      </c>
      <c r="G471" s="9" t="inlineStr">
        <is>
          <t>Shop - Others</t>
        </is>
      </c>
      <c r="H471">
        <f>IFERROR(INDEX(Categories!$A$5:$A$93,MATCH(G471,Categories!$B$5:$B$93,0)),"")</f>
        <v/>
      </c>
      <c r="I471" s="9" t="inlineStr">
        <is>
          <t>D</t>
        </is>
      </c>
      <c r="J471" s="9" t="inlineStr"/>
    </row>
    <row r="472">
      <c r="A472" s="9" t="inlineStr">
        <is>
          <t>Checking ...0861</t>
        </is>
      </c>
      <c r="B472" s="29" t="n">
        <v>46209</v>
      </c>
      <c r="C472" s="9" t="inlineStr">
        <is>
          <t>Crocs Carlsbad CA                            07/03</t>
        </is>
      </c>
      <c r="D472" s="10" t="n">
        <v>-10.76</v>
      </c>
      <c r="E472" s="9" t="inlineStr">
        <is>
          <t>DEBIT_CARD</t>
        </is>
      </c>
      <c r="F472" s="10" t="n">
        <v>6201.71</v>
      </c>
      <c r="G472" s="9" t="inlineStr">
        <is>
          <t>Shop - Others</t>
        </is>
      </c>
      <c r="H472">
        <f>IFERROR(INDEX(Categories!$A$5:$A$93,MATCH(G472,Categories!$B$5:$B$93,0)),"")</f>
        <v/>
      </c>
      <c r="I472" s="9" t="inlineStr">
        <is>
          <t>D</t>
        </is>
      </c>
      <c r="J472" s="9" t="inlineStr"/>
    </row>
    <row r="473">
      <c r="A473" s="9" t="inlineStr">
        <is>
          <t>Checking ...0861</t>
        </is>
      </c>
      <c r="B473" s="29" t="n">
        <v>46209</v>
      </c>
      <c r="C473" s="9" t="inlineStr">
        <is>
          <t>KLARNA* KLARNA KLARNA.COM OH                 07/03</t>
        </is>
      </c>
      <c r="D473" s="10" t="n">
        <v>-11.65</v>
      </c>
      <c r="E473" s="9" t="inlineStr">
        <is>
          <t>DEBIT_CARD</t>
        </is>
      </c>
      <c r="F473" s="10" t="n">
        <v>6212.47</v>
      </c>
      <c r="G473" s="9" t="inlineStr">
        <is>
          <t>Klarna</t>
        </is>
      </c>
      <c r="H473">
        <f>IFERROR(INDEX(Categories!$A$5:$A$93,MATCH(G473,Categories!$B$5:$B$93,0)),"")</f>
        <v/>
      </c>
      <c r="I473" s="9" t="inlineStr">
        <is>
          <t>H</t>
        </is>
      </c>
      <c r="J473" s="9" t="inlineStr"/>
    </row>
    <row r="474">
      <c r="A474" s="9" t="inlineStr">
        <is>
          <t>Checking ...0861</t>
        </is>
      </c>
      <c r="B474" s="29" t="n">
        <v>46209</v>
      </c>
      <c r="C474" s="9" t="inlineStr">
        <is>
          <t>Zelle payment from RHIAN ABIGAIL ALMO 29909071485</t>
        </is>
      </c>
      <c r="D474" s="10" t="n">
        <v>16</v>
      </c>
      <c r="E474" s="9" t="inlineStr">
        <is>
          <t>QUICKPAY_CREDIT</t>
        </is>
      </c>
      <c r="F474" s="10" t="n">
        <v>6224.12</v>
      </c>
      <c r="G474" s="9" t="inlineStr">
        <is>
          <t>Others - Income</t>
        </is>
      </c>
      <c r="H474">
        <f>IFERROR(INDEX(Categories!$A$5:$A$93,MATCH(G474,Categories!$B$5:$B$93,0)),"")</f>
        <v/>
      </c>
      <c r="I474" s="9" t="inlineStr">
        <is>
          <t>R</t>
        </is>
      </c>
      <c r="J474" s="9" t="inlineStr">
        <is>
          <t>Zelle received - please tell me who this person is so I can map them to a category</t>
        </is>
      </c>
    </row>
    <row r="475">
      <c r="A475" s="9" t="inlineStr">
        <is>
          <t>Checking ...0861</t>
        </is>
      </c>
      <c r="B475" s="29" t="n">
        <v>46209</v>
      </c>
      <c r="C475" s="9" t="inlineStr">
        <is>
          <t>Zelle payment from RHIAN ABIGAIL ALMO 29909111541</t>
        </is>
      </c>
      <c r="D475" s="10" t="n">
        <v>20</v>
      </c>
      <c r="E475" s="9" t="inlineStr">
        <is>
          <t>QUICKPAY_CREDIT</t>
        </is>
      </c>
      <c r="F475" s="10" t="n">
        <v>6208.12</v>
      </c>
      <c r="G475" s="9" t="inlineStr">
        <is>
          <t>Others - Income</t>
        </is>
      </c>
      <c r="H475">
        <f>IFERROR(INDEX(Categories!$A$5:$A$93,MATCH(G475,Categories!$B$5:$B$93,0)),"")</f>
        <v/>
      </c>
      <c r="I475" s="9" t="inlineStr">
        <is>
          <t>R</t>
        </is>
      </c>
      <c r="J475" s="9" t="inlineStr">
        <is>
          <t>Zelle received - please tell me who this person is so I can map them to a category</t>
        </is>
      </c>
    </row>
    <row r="476">
      <c r="A476" s="9" t="inlineStr">
        <is>
          <t>Checking ...0861</t>
        </is>
      </c>
      <c r="B476" s="29" t="n">
        <v>46209</v>
      </c>
      <c r="C476" s="9" t="inlineStr">
        <is>
          <t>Zelle payment from RHIAN ABIGAIL ALMO 29908534780</t>
        </is>
      </c>
      <c r="D476" s="10" t="n">
        <v>500</v>
      </c>
      <c r="E476" s="9" t="inlineStr">
        <is>
          <t>QUICKPAY_CREDIT</t>
        </is>
      </c>
      <c r="F476" s="10" t="n">
        <v>6188.12</v>
      </c>
      <c r="G476" s="9" t="inlineStr">
        <is>
          <t>Others - Income</t>
        </is>
      </c>
      <c r="H476">
        <f>IFERROR(INDEX(Categories!$A$5:$A$93,MATCH(G476,Categories!$B$5:$B$93,0)),"")</f>
        <v/>
      </c>
      <c r="I476" s="9" t="inlineStr">
        <is>
          <t>R</t>
        </is>
      </c>
      <c r="J476" s="9" t="inlineStr">
        <is>
          <t>Zelle received - please tell me who this person is so I can map them to a category</t>
        </is>
      </c>
    </row>
    <row r="477">
      <c r="A477" s="9" t="inlineStr">
        <is>
          <t>Checking ...0861</t>
        </is>
      </c>
      <c r="B477" s="29" t="n">
        <v>46209</v>
      </c>
      <c r="C477" s="9" t="inlineStr">
        <is>
          <t>PAYPAL           TRANSFER                   PPD ID: PAYPALSD11</t>
        </is>
      </c>
      <c r="D477" s="10" t="n">
        <v>1828</v>
      </c>
      <c r="E477" s="9" t="inlineStr">
        <is>
          <t>ACH_CREDIT</t>
        </is>
      </c>
      <c r="F477" s="10" t="n">
        <v>5688.12</v>
      </c>
      <c r="G477" s="9" t="inlineStr">
        <is>
          <t>Transfer - PayPal to Checking</t>
        </is>
      </c>
      <c r="H477">
        <f>IFERROR(INDEX(Categories!$A$5:$A$93,MATCH(G477,Categories!$B$5:$B$93,0)),"")</f>
        <v/>
      </c>
      <c r="I477" s="9" t="inlineStr">
        <is>
          <t>H</t>
        </is>
      </c>
      <c r="J477" s="9" t="inlineStr"/>
    </row>
    <row r="478">
      <c r="A478" s="9" t="inlineStr">
        <is>
          <t>Checking ...0861</t>
        </is>
      </c>
      <c r="B478" s="29" t="n">
        <v>46206</v>
      </c>
      <c r="C478" s="9" t="inlineStr">
        <is>
          <t>PAYPAL           PURCHASE   TIKTOK SHOP     WEB ID: PAYPALSI77</t>
        </is>
      </c>
      <c r="D478" s="10" t="n">
        <v>-23.18</v>
      </c>
      <c r="E478" s="9" t="inlineStr">
        <is>
          <t>ACH_DEBIT</t>
        </is>
      </c>
      <c r="F478" s="10" t="n">
        <v>3860.12</v>
      </c>
      <c r="G478" s="9" t="inlineStr">
        <is>
          <t>paypal tiktok</t>
        </is>
      </c>
      <c r="H478">
        <f>IFERROR(INDEX(Categories!$A$5:$A$93,MATCH(G478,Categories!$B$5:$B$93,0)),"")</f>
        <v/>
      </c>
      <c r="I478" s="9" t="inlineStr">
        <is>
          <t>H</t>
        </is>
      </c>
      <c r="J478" s="9" t="inlineStr"/>
    </row>
    <row r="479">
      <c r="A479" s="9" t="inlineStr">
        <is>
          <t>Checking ...0861</t>
        </is>
      </c>
      <c r="B479" s="29" t="n">
        <v>46206</v>
      </c>
      <c r="C479" s="9" t="inlineStr">
        <is>
          <t>PAYPAL           PURCHASE   TIKTOK SHOP     WEB ID: PAYPALSI77</t>
        </is>
      </c>
      <c r="D479" s="10" t="n">
        <v>-26.64</v>
      </c>
      <c r="E479" s="9" t="inlineStr">
        <is>
          <t>ACH_DEBIT</t>
        </is>
      </c>
      <c r="F479" s="10" t="n">
        <v>3883.3</v>
      </c>
      <c r="G479" s="9" t="inlineStr">
        <is>
          <t>paypal tiktok</t>
        </is>
      </c>
      <c r="H479">
        <f>IFERROR(INDEX(Categories!$A$5:$A$93,MATCH(G479,Categories!$B$5:$B$93,0)),"")</f>
        <v/>
      </c>
      <c r="I479" s="9" t="inlineStr">
        <is>
          <t>H</t>
        </is>
      </c>
      <c r="J479" s="9" t="inlineStr"/>
    </row>
    <row r="480">
      <c r="A480" s="9" t="inlineStr">
        <is>
          <t>Checking ...0861</t>
        </is>
      </c>
      <c r="B480" s="29" t="n">
        <v>46206</v>
      </c>
      <c r="C480" s="9" t="inlineStr">
        <is>
          <t>PAYPAL           PURCHASE   TIKTOK SHOP     WEB ID: PAYPALSI77</t>
        </is>
      </c>
      <c r="D480" s="10" t="n">
        <v>-13.21</v>
      </c>
      <c r="E480" s="9" t="inlineStr">
        <is>
          <t>ACH_DEBIT</t>
        </is>
      </c>
      <c r="F480" s="10" t="n">
        <v>3909.94</v>
      </c>
      <c r="G480" s="9" t="inlineStr">
        <is>
          <t>paypal tiktok</t>
        </is>
      </c>
      <c r="H480">
        <f>IFERROR(INDEX(Categories!$A$5:$A$93,MATCH(G480,Categories!$B$5:$B$93,0)),"")</f>
        <v/>
      </c>
      <c r="I480" s="9" t="inlineStr">
        <is>
          <t>H</t>
        </is>
      </c>
      <c r="J480" s="9" t="inlineStr"/>
    </row>
    <row r="481">
      <c r="A481" s="9" t="inlineStr">
        <is>
          <t>Checking ...0861</t>
        </is>
      </c>
      <c r="B481" s="29" t="n">
        <v>46206</v>
      </c>
      <c r="C481" s="9" t="inlineStr">
        <is>
          <t>PAYPAL           TRANSFER   ADD TO BALANCE  WEB ID: PAYPALSD22</t>
        </is>
      </c>
      <c r="D481" s="10" t="n">
        <v>-50</v>
      </c>
      <c r="E481" s="9" t="inlineStr">
        <is>
          <t>ACH_DEBIT</t>
        </is>
      </c>
      <c r="F481" s="10" t="n">
        <v>3923.15</v>
      </c>
      <c r="G481" s="9" t="inlineStr">
        <is>
          <t>Transfer - Checking to PayPal</t>
        </is>
      </c>
      <c r="H481">
        <f>IFERROR(INDEX(Categories!$A$5:$A$93,MATCH(G481,Categories!$B$5:$B$93,0)),"")</f>
        <v/>
      </c>
      <c r="I481" s="9" t="inlineStr">
        <is>
          <t>H</t>
        </is>
      </c>
      <c r="J481" s="9" t="inlineStr"/>
    </row>
    <row r="482">
      <c r="A482" s="9" t="inlineStr">
        <is>
          <t>Checking ...0861</t>
        </is>
      </c>
      <c r="B482" s="29" t="n">
        <v>46206</v>
      </c>
      <c r="C482" s="9" t="inlineStr">
        <is>
          <t>Online Transfer to  SAV ...5953 transaction#: 29764742296</t>
        </is>
      </c>
      <c r="D482" s="10" t="n">
        <v>-25</v>
      </c>
      <c r="E482" s="9" t="inlineStr">
        <is>
          <t>ACCT_XFER</t>
        </is>
      </c>
      <c r="F482" s="10" t="n">
        <v>3973.15</v>
      </c>
      <c r="G482" s="9" t="inlineStr">
        <is>
          <t>Transfer - Checking to Savings</t>
        </is>
      </c>
      <c r="H482">
        <f>IFERROR(INDEX(Categories!$A$5:$A$93,MATCH(G482,Categories!$B$5:$B$93,0)),"")</f>
        <v/>
      </c>
      <c r="I482" s="9" t="inlineStr">
        <is>
          <t>H</t>
        </is>
      </c>
      <c r="J482" s="9" t="inlineStr"/>
    </row>
    <row r="483">
      <c r="A483" s="9" t="inlineStr">
        <is>
          <t>Checking ...0861</t>
        </is>
      </c>
      <c r="B483" s="29" t="n">
        <v>46206</v>
      </c>
      <c r="C483" s="9" t="inlineStr">
        <is>
          <t>PREMIER BANKCARD AUTOPAY    G     339083885 WEB ID: 2470535472</t>
        </is>
      </c>
      <c r="D483" s="10" t="n">
        <v>-6.31</v>
      </c>
      <c r="E483" s="9" t="inlineStr">
        <is>
          <t>ACH_DEBIT</t>
        </is>
      </c>
      <c r="F483" s="10" t="n">
        <v>3998.15</v>
      </c>
      <c r="G483" s="9" t="inlineStr">
        <is>
          <t>CC - FPB</t>
        </is>
      </c>
      <c r="H483">
        <f>IFERROR(INDEX(Categories!$A$5:$A$93,MATCH(G483,Categories!$B$5:$B$93,0)),"")</f>
        <v/>
      </c>
      <c r="I483" s="9" t="inlineStr">
        <is>
          <t>H</t>
        </is>
      </c>
      <c r="J483" s="9" t="inlineStr"/>
    </row>
    <row r="484">
      <c r="A484" s="9" t="inlineStr">
        <is>
          <t>Checking ...0861</t>
        </is>
      </c>
      <c r="B484" s="29" t="n">
        <v>46205</v>
      </c>
      <c r="C484" s="9" t="inlineStr">
        <is>
          <t>SP+AFF * HOWLER BIKE 855-423-3729 CA         07/02</t>
        </is>
      </c>
      <c r="D484" s="10" t="n">
        <v>-47.93</v>
      </c>
      <c r="E484" s="9" t="inlineStr">
        <is>
          <t>DEBIT_CARD</t>
        </is>
      </c>
      <c r="F484" s="10" t="n">
        <v>4004.46</v>
      </c>
      <c r="G484" s="9" t="inlineStr">
        <is>
          <t>For Bike</t>
        </is>
      </c>
      <c r="H484">
        <f>IFERROR(INDEX(Categories!$A$5:$A$93,MATCH(G484,Categories!$B$5:$B$93,0)),"")</f>
        <v/>
      </c>
      <c r="I484" s="9" t="inlineStr">
        <is>
          <t>H</t>
        </is>
      </c>
      <c r="J484" s="9" t="inlineStr"/>
    </row>
    <row r="485">
      <c r="A485" s="9" t="inlineStr">
        <is>
          <t>Checking ...0861</t>
        </is>
      </c>
      <c r="B485" s="29" t="n">
        <v>46205</v>
      </c>
      <c r="C485" s="9" t="inlineStr">
        <is>
          <t>AMAZON MARKETPLA INTERNET   043000095207588 WEB ID: 9049016352</t>
        </is>
      </c>
      <c r="D485" s="10" t="n">
        <v>-65.23999999999999</v>
      </c>
      <c r="E485" s="9" t="inlineStr">
        <is>
          <t>ACH_DEBIT</t>
        </is>
      </c>
      <c r="F485" s="10" t="n">
        <v>4052.39</v>
      </c>
      <c r="G485" s="9" t="inlineStr">
        <is>
          <t>Shop - Amazon</t>
        </is>
      </c>
      <c r="H485">
        <f>IFERROR(INDEX(Categories!$A$5:$A$93,MATCH(G485,Categories!$B$5:$B$93,0)),"")</f>
        <v/>
      </c>
      <c r="I485" s="9" t="inlineStr">
        <is>
          <t>H</t>
        </is>
      </c>
      <c r="J485" s="9" t="inlineStr"/>
    </row>
    <row r="486">
      <c r="A486" s="9" t="inlineStr">
        <is>
          <t>Checking ...0861</t>
        </is>
      </c>
      <c r="B486" s="29" t="n">
        <v>46205</v>
      </c>
      <c r="C486" s="9" t="inlineStr">
        <is>
          <t>Zelle payment to RHIAN ALMO 29847360948</t>
        </is>
      </c>
      <c r="D486" s="10" t="n">
        <v>-10</v>
      </c>
      <c r="E486" s="9" t="inlineStr">
        <is>
          <t>QUICKPAY_DEBIT</t>
        </is>
      </c>
      <c r="F486" s="10" t="n">
        <v>4117.63</v>
      </c>
      <c r="G486" s="9" t="inlineStr">
        <is>
          <t>Others</t>
        </is>
      </c>
      <c r="H486">
        <f>IFERROR(INDEX(Categories!$A$5:$A$93,MATCH(G486,Categories!$B$5:$B$93,0)),"")</f>
        <v/>
      </c>
      <c r="I486" s="9" t="inlineStr">
        <is>
          <t>R</t>
        </is>
      </c>
      <c r="J486" s="9" t="inlineStr">
        <is>
          <t>Zelle sent - please tell me who this person is so I can map them to a category</t>
        </is>
      </c>
    </row>
    <row r="487">
      <c r="A487" s="9" t="inlineStr">
        <is>
          <t>Checking ...0861</t>
        </is>
      </c>
      <c r="B487" s="29" t="n">
        <v>46205</v>
      </c>
      <c r="C487" s="9" t="inlineStr">
        <is>
          <t>Zelle payment to Doris 2 JPM99co1v83q</t>
        </is>
      </c>
      <c r="D487" s="10" t="n">
        <v>-50</v>
      </c>
      <c r="E487" s="9" t="inlineStr">
        <is>
          <t>CHASE_TO_PARTNERFI</t>
        </is>
      </c>
      <c r="F487" s="10" t="n">
        <v>4127.63</v>
      </c>
      <c r="G487" s="9" t="inlineStr">
        <is>
          <t>Others</t>
        </is>
      </c>
      <c r="H487">
        <f>IFERROR(INDEX(Categories!$A$5:$A$93,MATCH(G487,Categories!$B$5:$B$93,0)),"")</f>
        <v/>
      </c>
      <c r="I487" s="9" t="inlineStr">
        <is>
          <t>R</t>
        </is>
      </c>
      <c r="J487" s="9" t="inlineStr">
        <is>
          <t>Zelle sent - please tell me who this person is so I can map them to a category</t>
        </is>
      </c>
    </row>
    <row r="488">
      <c r="A488" s="9" t="inlineStr">
        <is>
          <t>Checking ...0861</t>
        </is>
      </c>
      <c r="B488" s="29" t="n">
        <v>46204</v>
      </c>
      <c r="C488" s="9" t="inlineStr">
        <is>
          <t>FOODMAXX #405 S SALINAS CA                   07/01</t>
        </is>
      </c>
      <c r="D488" s="10" t="n">
        <v>-10.92</v>
      </c>
      <c r="E488" s="9" t="inlineStr">
        <is>
          <t>DEBIT_CARD</t>
        </is>
      </c>
      <c r="F488" s="10" t="n">
        <v>4177.63</v>
      </c>
      <c r="G488" s="9" t="inlineStr">
        <is>
          <t>Groceries - Others</t>
        </is>
      </c>
      <c r="H488">
        <f>IFERROR(INDEX(Categories!$A$5:$A$93,MATCH(G488,Categories!$B$5:$B$93,0)),"")</f>
        <v/>
      </c>
      <c r="I488" s="9" t="inlineStr">
        <is>
          <t>H</t>
        </is>
      </c>
      <c r="J488" s="9" t="inlineStr"/>
    </row>
    <row r="489">
      <c r="A489" s="9" t="inlineStr">
        <is>
          <t>Checking ...0861</t>
        </is>
      </c>
      <c r="B489" s="29" t="n">
        <v>46204</v>
      </c>
      <c r="C489" s="9" t="inlineStr">
        <is>
          <t>SHELL SERVICE STATION SALINAS CA     439094  07/01</t>
        </is>
      </c>
      <c r="D489" s="10" t="n">
        <v>-76.34999999999999</v>
      </c>
      <c r="E489" s="9" t="inlineStr">
        <is>
          <t>DEBIT_CARD</t>
        </is>
      </c>
      <c r="F489" s="10" t="n">
        <v>4188.55</v>
      </c>
      <c r="G489" s="9" t="inlineStr">
        <is>
          <t>Gas</t>
        </is>
      </c>
      <c r="H489">
        <f>IFERROR(INDEX(Categories!$A$5:$A$93,MATCH(G489,Categories!$B$5:$B$93,0)),"")</f>
        <v/>
      </c>
      <c r="I489" s="9" t="inlineStr">
        <is>
          <t>D</t>
        </is>
      </c>
      <c r="J489" s="9" t="inlineStr"/>
    </row>
    <row r="490">
      <c r="A490" s="9" t="inlineStr">
        <is>
          <t>Checking ...0861</t>
        </is>
      </c>
      <c r="B490" s="29" t="n">
        <v>46204</v>
      </c>
      <c r="C490" s="9" t="inlineStr">
        <is>
          <t>SOFI PLUS SOFI.COM CA                        07/01</t>
        </is>
      </c>
      <c r="D490" s="10" t="n">
        <v>-10</v>
      </c>
      <c r="E490" s="9" t="inlineStr">
        <is>
          <t>DEBIT_CARD</t>
        </is>
      </c>
      <c r="F490" s="10" t="n">
        <v>4264.9</v>
      </c>
      <c r="G490" s="9" t="inlineStr">
        <is>
          <t>Others</t>
        </is>
      </c>
      <c r="H490">
        <f>IFERROR(INDEX(Categories!$A$5:$A$93,MATCH(G490,Categories!$B$5:$B$93,0)),"")</f>
        <v/>
      </c>
      <c r="I490" s="9" t="inlineStr">
        <is>
          <t>R</t>
        </is>
      </c>
      <c r="J490" s="9" t="inlineStr">
        <is>
          <t>Unrecognized charge - please tell me what this is</t>
        </is>
      </c>
    </row>
    <row r="491">
      <c r="A491" s="9" t="inlineStr">
        <is>
          <t>Checking ...0861</t>
        </is>
      </c>
      <c r="B491" s="29" t="n">
        <v>46204</v>
      </c>
      <c r="C491" s="9" t="inlineStr">
        <is>
          <t>TEAMSTERS        PAYMENTS                   PPD ID: 3046100016</t>
        </is>
      </c>
      <c r="D491" s="10" t="n">
        <v>4274.9</v>
      </c>
      <c r="E491" s="9" t="inlineStr">
        <is>
          <t>ACH_CREDIT</t>
        </is>
      </c>
      <c r="F491" s="10" t="n">
        <v>4274.9</v>
      </c>
      <c r="G491" s="9" t="inlineStr">
        <is>
          <t>Chris - Pension</t>
        </is>
      </c>
      <c r="H491">
        <f>IFERROR(INDEX(Categories!$A$5:$A$93,MATCH(G491,Categories!$B$5:$B$93,0)),"")</f>
        <v/>
      </c>
      <c r="I491" s="9" t="inlineStr">
        <is>
          <t>R</t>
        </is>
      </c>
      <c r="J491" s="9" t="inlineStr">
        <is>
          <t>Recurring ~$4,275 credit - assumed this is Chris' Teamsters pension, please confirm</t>
        </is>
      </c>
    </row>
    <row r="492">
      <c r="A492" s="9" t="inlineStr">
        <is>
          <t>Checking ...0861</t>
        </is>
      </c>
      <c r="B492" s="29" t="n">
        <v>46203</v>
      </c>
      <c r="C492" s="9" t="inlineStr">
        <is>
          <t>AMAZON MARKETPLA INTERNET   043000093203454 WEB ID: 9049016352</t>
        </is>
      </c>
      <c r="D492" s="10" t="n">
        <v>-65.23999999999999</v>
      </c>
      <c r="E492" s="9" t="inlineStr">
        <is>
          <t>ACH_DEBIT</t>
        </is>
      </c>
      <c r="F492" s="10" t="n">
        <v>0</v>
      </c>
      <c r="G492" s="9" t="inlineStr">
        <is>
          <t>Shop - Amazon</t>
        </is>
      </c>
      <c r="H492">
        <f>IFERROR(INDEX(Categories!$A$5:$A$93,MATCH(G492,Categories!$B$5:$B$93,0)),"")</f>
        <v/>
      </c>
      <c r="I492" s="9" t="inlineStr">
        <is>
          <t>H</t>
        </is>
      </c>
      <c r="J492" s="9" t="inlineStr"/>
    </row>
    <row r="493">
      <c r="A493" s="9" t="inlineStr">
        <is>
          <t>Checking ...0861</t>
        </is>
      </c>
      <c r="B493" s="29" t="n">
        <v>46203</v>
      </c>
      <c r="C493" s="9" t="inlineStr">
        <is>
          <t>CITIZENS PAY     LINE OF CR 043000092693926 WEB ID: 9044036180</t>
        </is>
      </c>
      <c r="D493" s="10" t="n">
        <v>-254.75</v>
      </c>
      <c r="E493" s="9" t="inlineStr">
        <is>
          <t>ACH_DEBIT</t>
        </is>
      </c>
      <c r="F493" s="10" t="n">
        <v>65.23999999999999</v>
      </c>
      <c r="G493" s="9" t="inlineStr">
        <is>
          <t>CC - Citizen bank</t>
        </is>
      </c>
      <c r="H493">
        <f>IFERROR(INDEX(Categories!$A$5:$A$93,MATCH(G493,Categories!$B$5:$B$93,0)),"")</f>
        <v/>
      </c>
      <c r="I493" s="9" t="inlineStr">
        <is>
          <t>H</t>
        </is>
      </c>
      <c r="J493" s="9" t="inlineStr"/>
    </row>
    <row r="494">
      <c r="A494" s="9" t="inlineStr">
        <is>
          <t>Checking ...0861</t>
        </is>
      </c>
      <c r="B494" s="29" t="n">
        <v>46203</v>
      </c>
      <c r="C494" s="9" t="inlineStr">
        <is>
          <t>WASTE MANAGEMENT PAYMENT                    PPD ID: 9580653001</t>
        </is>
      </c>
      <c r="D494" s="10" t="n">
        <v>-158.36</v>
      </c>
      <c r="E494" s="9" t="inlineStr">
        <is>
          <t>ACH_DEBIT</t>
        </is>
      </c>
      <c r="F494" s="10" t="n">
        <v>319.99</v>
      </c>
      <c r="G494" s="9" t="inlineStr">
        <is>
          <t>Waste Management</t>
        </is>
      </c>
      <c r="H494">
        <f>IFERROR(INDEX(Categories!$A$5:$A$93,MATCH(G494,Categories!$B$5:$B$93,0)),"")</f>
        <v/>
      </c>
      <c r="I494" s="9" t="inlineStr">
        <is>
          <t>H</t>
        </is>
      </c>
      <c r="J494" s="9" t="inlineStr"/>
    </row>
    <row r="495">
      <c r="A495" s="9" t="inlineStr">
        <is>
          <t>Checking ...0861</t>
        </is>
      </c>
      <c r="B495" s="29" t="n">
        <v>46203</v>
      </c>
      <c r="C495" s="9" t="inlineStr">
        <is>
          <t>Taptap Send New York NY                      06/29</t>
        </is>
      </c>
      <c r="D495" s="10" t="n">
        <v>-197.69</v>
      </c>
      <c r="E495" s="9" t="inlineStr">
        <is>
          <t>DEBIT_CARD</t>
        </is>
      </c>
      <c r="F495" s="10" t="n">
        <v>478.35</v>
      </c>
      <c r="G495" s="9" t="inlineStr">
        <is>
          <t>Remittance - others</t>
        </is>
      </c>
      <c r="H495">
        <f>IFERROR(INDEX(Categories!$A$5:$A$93,MATCH(G495,Categories!$B$5:$B$93,0)),"")</f>
        <v/>
      </c>
      <c r="I495" s="9" t="inlineStr">
        <is>
          <t>R</t>
        </is>
      </c>
      <c r="J495" s="9" t="inlineStr">
        <is>
          <t>Remittance app transfer - recipient not shown; please tell me if this is Aron, Aron's tuition, or someone else</t>
        </is>
      </c>
    </row>
    <row r="496">
      <c r="A496" s="9" t="inlineStr">
        <is>
          <t>Checking ...0861</t>
        </is>
      </c>
      <c r="B496" s="29" t="n">
        <v>46203</v>
      </c>
      <c r="C496" s="9" t="inlineStr">
        <is>
          <t>ODP TRANSFER FROM SAVINGS ...5953</t>
        </is>
      </c>
      <c r="D496" s="10" t="n">
        <v>676.04</v>
      </c>
      <c r="E496" s="9" t="inlineStr">
        <is>
          <t>MISC_CREDIT</t>
        </is>
      </c>
      <c r="F496" s="10" t="n">
        <v>676.04</v>
      </c>
      <c r="G496" s="9" t="inlineStr">
        <is>
          <t>Transfer - Savings to Checking</t>
        </is>
      </c>
      <c r="H496">
        <f>IFERROR(INDEX(Categories!$A$5:$A$93,MATCH(G496,Categories!$B$5:$B$93,0)),"")</f>
        <v/>
      </c>
      <c r="I496" s="9" t="inlineStr">
        <is>
          <t>H</t>
        </is>
      </c>
      <c r="J496" s="9" t="inlineStr">
        <is>
          <t>Overdraft-protection auto-pull from savings</t>
        </is>
      </c>
    </row>
    <row r="497">
      <c r="A497" s="9" t="inlineStr">
        <is>
          <t>Checking ...0861</t>
        </is>
      </c>
      <c r="B497" s="29" t="n">
        <v>46202</v>
      </c>
      <c r="C497" s="9" t="inlineStr">
        <is>
          <t>COMCAST-XFINITY  CABLE SVCS                 PPD ID: 0000213249</t>
        </is>
      </c>
      <c r="D497" s="10" t="n">
        <v>-139.72</v>
      </c>
      <c r="E497" s="9" t="inlineStr">
        <is>
          <t>ACH_DEBIT</t>
        </is>
      </c>
      <c r="F497" s="10" t="n">
        <v>0</v>
      </c>
      <c r="G497" s="9" t="inlineStr">
        <is>
          <t>Comcast</t>
        </is>
      </c>
      <c r="H497">
        <f>IFERROR(INDEX(Categories!$A$5:$A$93,MATCH(G497,Categories!$B$5:$B$93,0)),"")</f>
        <v/>
      </c>
      <c r="I497" s="9" t="inlineStr">
        <is>
          <t>H</t>
        </is>
      </c>
      <c r="J497" s="9" t="inlineStr"/>
    </row>
    <row r="498">
      <c r="A498" s="9" t="inlineStr">
        <is>
          <t>Checking ...0861</t>
        </is>
      </c>
      <c r="B498" s="29" t="n">
        <v>46202</v>
      </c>
      <c r="C498" s="9" t="inlineStr">
        <is>
          <t>SP+AFF * JDMuscle - 1 855-423-3729 CA        06/29</t>
        </is>
      </c>
      <c r="D498" s="10" t="n">
        <v>-30.15</v>
      </c>
      <c r="E498" s="9" t="inlineStr">
        <is>
          <t>DEBIT_CARD</t>
        </is>
      </c>
      <c r="F498" s="10" t="n">
        <v>139.72</v>
      </c>
      <c r="G498" s="9" t="inlineStr">
        <is>
          <t>Shop - Others</t>
        </is>
      </c>
      <c r="H498">
        <f>IFERROR(INDEX(Categories!$A$5:$A$93,MATCH(G498,Categories!$B$5:$B$93,0)),"")</f>
        <v/>
      </c>
      <c r="I498" s="9" t="inlineStr">
        <is>
          <t>R</t>
        </is>
      </c>
      <c r="J498" s="9" t="inlineStr">
        <is>
          <t>Small online-shop charge via an affiliate/Affirm-style processor - description doesn't name the actual store</t>
        </is>
      </c>
    </row>
    <row r="499">
      <c r="A499" s="9" t="inlineStr">
        <is>
          <t>Checking ...0861</t>
        </is>
      </c>
      <c r="B499" s="29" t="n">
        <v>46202</v>
      </c>
      <c r="C499" s="9" t="inlineStr">
        <is>
          <t>PAYPAL           PURCHASE   GOOGLE BYTEDANC WEB ID: PAYPALSI77</t>
        </is>
      </c>
      <c r="D499" s="10" t="n">
        <v>-8.99</v>
      </c>
      <c r="E499" s="9" t="inlineStr">
        <is>
          <t>ACH_DEBIT</t>
        </is>
      </c>
      <c r="F499" s="10" t="n">
        <v>169.87</v>
      </c>
      <c r="G499" s="9" t="inlineStr">
        <is>
          <t>Others</t>
        </is>
      </c>
      <c r="H499">
        <f>IFERROR(INDEX(Categories!$A$5:$A$93,MATCH(G499,Categories!$B$5:$B$93,0)),"")</f>
        <v/>
      </c>
      <c r="I499" s="9" t="inlineStr">
        <is>
          <t>R</t>
        </is>
      </c>
      <c r="J499" s="9" t="inlineStr">
        <is>
          <t>Subscription/purchase via PayPal (Apple, Etsy, Google apps, Lyft, AARP, etc.) - no matching category</t>
        </is>
      </c>
    </row>
    <row r="500">
      <c r="A500" s="9" t="inlineStr">
        <is>
          <t>Checking ...0861</t>
        </is>
      </c>
      <c r="B500" s="29" t="n">
        <v>46202</v>
      </c>
      <c r="C500" s="9" t="inlineStr">
        <is>
          <t>AMAZON MARKETPLA INTERNET   043000099269804 WEB ID: 9049016352</t>
        </is>
      </c>
      <c r="D500" s="10" t="n">
        <v>-18.32</v>
      </c>
      <c r="E500" s="9" t="inlineStr">
        <is>
          <t>ACH_DEBIT</t>
        </is>
      </c>
      <c r="F500" s="10" t="n">
        <v>178.86</v>
      </c>
      <c r="G500" s="9" t="inlineStr">
        <is>
          <t>Shop - Amazon</t>
        </is>
      </c>
      <c r="H500">
        <f>IFERROR(INDEX(Categories!$A$5:$A$93,MATCH(G500,Categories!$B$5:$B$93,0)),"")</f>
        <v/>
      </c>
      <c r="I500" s="9" t="inlineStr">
        <is>
          <t>H</t>
        </is>
      </c>
      <c r="J500" s="9" t="inlineStr"/>
    </row>
    <row r="501">
      <c r="A501" s="9" t="inlineStr">
        <is>
          <t>Checking ...0861</t>
        </is>
      </c>
      <c r="B501" s="29" t="n">
        <v>46202</v>
      </c>
      <c r="C501" s="9" t="inlineStr">
        <is>
          <t>PAYPAL           PURCHASE   TIKTOK SHOP     WEB ID: PAYPALSI77</t>
        </is>
      </c>
      <c r="D501" s="10" t="n">
        <v>-24.46</v>
      </c>
      <c r="E501" s="9" t="inlineStr">
        <is>
          <t>ACH_DEBIT</t>
        </is>
      </c>
      <c r="F501" s="10" t="n">
        <v>197.18</v>
      </c>
      <c r="G501" s="9" t="inlineStr">
        <is>
          <t>paypal tiktok</t>
        </is>
      </c>
      <c r="H501">
        <f>IFERROR(INDEX(Categories!$A$5:$A$93,MATCH(G501,Categories!$B$5:$B$93,0)),"")</f>
        <v/>
      </c>
      <c r="I501" s="9" t="inlineStr">
        <is>
          <t>H</t>
        </is>
      </c>
      <c r="J501" s="9" t="inlineStr"/>
    </row>
    <row r="502">
      <c r="A502" s="9" t="inlineStr">
        <is>
          <t>Checking ...0861</t>
        </is>
      </c>
      <c r="B502" s="29" t="n">
        <v>46202</v>
      </c>
      <c r="C502" s="9" t="inlineStr">
        <is>
          <t>PAYPAL           PURCHASE   TIKTOK SHOP     WEB ID: PAYPALSI77</t>
        </is>
      </c>
      <c r="D502" s="10" t="n">
        <v>-26.88</v>
      </c>
      <c r="E502" s="9" t="inlineStr">
        <is>
          <t>ACH_DEBIT</t>
        </is>
      </c>
      <c r="F502" s="10" t="n">
        <v>221.64</v>
      </c>
      <c r="G502" s="9" t="inlineStr">
        <is>
          <t>paypal tiktok</t>
        </is>
      </c>
      <c r="H502">
        <f>IFERROR(INDEX(Categories!$A$5:$A$93,MATCH(G502,Categories!$B$5:$B$93,0)),"")</f>
        <v/>
      </c>
      <c r="I502" s="9" t="inlineStr">
        <is>
          <t>H</t>
        </is>
      </c>
      <c r="J502" s="9" t="inlineStr"/>
    </row>
    <row r="503">
      <c r="A503" s="9" t="inlineStr">
        <is>
          <t>Checking ...0861</t>
        </is>
      </c>
      <c r="B503" s="29" t="n">
        <v>46202</v>
      </c>
      <c r="C503" s="9" t="inlineStr">
        <is>
          <t>AMAZON MARKETPLA INTERNET   043000092453956 WEB ID: 9049016352</t>
        </is>
      </c>
      <c r="D503" s="10" t="n">
        <v>-30</v>
      </c>
      <c r="E503" s="9" t="inlineStr">
        <is>
          <t>ACH_DEBIT</t>
        </is>
      </c>
      <c r="F503" s="10" t="n">
        <v>248.52</v>
      </c>
      <c r="G503" s="9" t="inlineStr">
        <is>
          <t>Shop - Amazon</t>
        </is>
      </c>
      <c r="H503">
        <f>IFERROR(INDEX(Categories!$A$5:$A$93,MATCH(G503,Categories!$B$5:$B$93,0)),"")</f>
        <v/>
      </c>
      <c r="I503" s="9" t="inlineStr">
        <is>
          <t>H</t>
        </is>
      </c>
      <c r="J503" s="9" t="inlineStr"/>
    </row>
    <row r="504">
      <c r="A504" s="9" t="inlineStr">
        <is>
          <t>Checking ...0861</t>
        </is>
      </c>
      <c r="B504" s="29" t="n">
        <v>46202</v>
      </c>
      <c r="C504" s="9" t="inlineStr">
        <is>
          <t>CAPITAL ONE      CRCARDPMT  CA0012EF337DF8B WEB ID: 9541719318</t>
        </is>
      </c>
      <c r="D504" s="10" t="n">
        <v>-100</v>
      </c>
      <c r="E504" s="9" t="inlineStr">
        <is>
          <t>ACH_DEBIT</t>
        </is>
      </c>
      <c r="F504" s="10" t="n">
        <v>278.52</v>
      </c>
      <c r="G504" s="9" t="inlineStr">
        <is>
          <t>CC - Capital 1</t>
        </is>
      </c>
      <c r="H504">
        <f>IFERROR(INDEX(Categories!$A$5:$A$93,MATCH(G504,Categories!$B$5:$B$93,0)),"")</f>
        <v/>
      </c>
      <c r="I504" s="9" t="inlineStr">
        <is>
          <t>H</t>
        </is>
      </c>
      <c r="J504" s="9" t="inlineStr"/>
    </row>
    <row r="505">
      <c r="A505" s="9" t="inlineStr">
        <is>
          <t>Checking ...0861</t>
        </is>
      </c>
      <c r="B505" s="29" t="n">
        <v>46202</v>
      </c>
      <c r="C505" s="9" t="inlineStr">
        <is>
          <t>MCDONALD'S F2428 SALINAS CA                  06/28</t>
        </is>
      </c>
      <c r="D505" s="10" t="n">
        <v>-22.05</v>
      </c>
      <c r="E505" s="9" t="inlineStr">
        <is>
          <t>DEBIT_CARD</t>
        </is>
      </c>
      <c r="F505" s="10" t="n">
        <v>378.52</v>
      </c>
      <c r="G505" s="9" t="inlineStr">
        <is>
          <t>Food - Eat Out</t>
        </is>
      </c>
      <c r="H505">
        <f>IFERROR(INDEX(Categories!$A$5:$A$93,MATCH(G505,Categories!$B$5:$B$93,0)),"")</f>
        <v/>
      </c>
      <c r="I505" s="9" t="inlineStr">
        <is>
          <t>D</t>
        </is>
      </c>
      <c r="J505" s="9" t="inlineStr">
        <is>
          <t>Restaurant/fast-food - defaulted to Eat Out; move to Food - Ailynn/Chris/Misc if you know whose order it was</t>
        </is>
      </c>
    </row>
    <row r="506">
      <c r="A506" s="9" t="inlineStr">
        <is>
          <t>Checking ...0861</t>
        </is>
      </c>
      <c r="B506" s="29" t="n">
        <v>46202</v>
      </c>
      <c r="C506" s="9" t="inlineStr">
        <is>
          <t>CHEVRON 0091927 WATSONVILLE CA               06/28</t>
        </is>
      </c>
      <c r="D506" s="10" t="n">
        <v>-34.12</v>
      </c>
      <c r="E506" s="9" t="inlineStr">
        <is>
          <t>DEBIT_CARD</t>
        </is>
      </c>
      <c r="F506" s="10" t="n">
        <v>400.57</v>
      </c>
      <c r="G506" s="9" t="inlineStr">
        <is>
          <t>Gas</t>
        </is>
      </c>
      <c r="H506">
        <f>IFERROR(INDEX(Categories!$A$5:$A$93,MATCH(G506,Categories!$B$5:$B$93,0)),"")</f>
        <v/>
      </c>
      <c r="I506" s="9" t="inlineStr">
        <is>
          <t>D</t>
        </is>
      </c>
      <c r="J506" s="9" t="inlineStr"/>
    </row>
    <row r="507">
      <c r="A507" s="9" t="inlineStr">
        <is>
          <t>Checking ...0861</t>
        </is>
      </c>
      <c r="B507" s="29" t="n">
        <v>46202</v>
      </c>
      <c r="C507" s="9" t="inlineStr">
        <is>
          <t>GIV*FIRST PRESBY 831-4227811 CA              06/28</t>
        </is>
      </c>
      <c r="D507" s="10" t="n">
        <v>-20</v>
      </c>
      <c r="E507" s="9" t="inlineStr">
        <is>
          <t>DEBIT_CARD</t>
        </is>
      </c>
      <c r="F507" s="10" t="n">
        <v>434.69</v>
      </c>
      <c r="G507" s="9" t="inlineStr">
        <is>
          <t>Others</t>
        </is>
      </c>
      <c r="H507">
        <f>IFERROR(INDEX(Categories!$A$5:$A$93,MATCH(G507,Categories!$B$5:$B$93,0)),"")</f>
        <v/>
      </c>
      <c r="I507" s="9" t="inlineStr">
        <is>
          <t>H</t>
        </is>
      </c>
      <c r="J507" s="9" t="inlineStr">
        <is>
          <t>Recurring $20 church/charitable giving - no matching category in your list, put under Others</t>
        </is>
      </c>
    </row>
    <row r="508">
      <c r="A508" s="9" t="inlineStr">
        <is>
          <t>Checking ...0861</t>
        </is>
      </c>
      <c r="B508" s="29" t="n">
        <v>46202</v>
      </c>
      <c r="C508" s="9" t="inlineStr">
        <is>
          <t>PAYPAL *PYPL PAYIN4 402-935-7733 CA          06/28</t>
        </is>
      </c>
      <c r="D508" s="10" t="n">
        <v>-71.63</v>
      </c>
      <c r="E508" s="9" t="inlineStr">
        <is>
          <t>DEBIT_CARD</t>
        </is>
      </c>
      <c r="F508" s="10" t="n">
        <v>454.69</v>
      </c>
      <c r="G508" s="9" t="inlineStr">
        <is>
          <t>Paypal pay in 4</t>
        </is>
      </c>
      <c r="H508">
        <f>IFERROR(INDEX(Categories!$A$5:$A$93,MATCH(G508,Categories!$B$5:$B$93,0)),"")</f>
        <v/>
      </c>
      <c r="I508" s="9" t="inlineStr">
        <is>
          <t>H</t>
        </is>
      </c>
      <c r="J508" s="9" t="inlineStr"/>
    </row>
    <row r="509">
      <c r="A509" s="9" t="inlineStr">
        <is>
          <t>Checking ...0861</t>
        </is>
      </c>
      <c r="B509" s="29" t="n">
        <v>46202</v>
      </c>
      <c r="C509" s="9" t="inlineStr">
        <is>
          <t>Online Payment 29788679514 To ALA 0908 06/29</t>
        </is>
      </c>
      <c r="D509" s="10" t="n">
        <v>-706.36</v>
      </c>
      <c r="E509" s="9" t="inlineStr">
        <is>
          <t>LOAN_PMT</t>
        </is>
      </c>
      <c r="F509" s="10" t="n">
        <v>526.3200000000001</v>
      </c>
      <c r="G509" s="9" t="inlineStr">
        <is>
          <t>Others</t>
        </is>
      </c>
      <c r="H509">
        <f>IFERROR(INDEX(Categories!$A$5:$A$93,MATCH(G509,Categories!$B$5:$B$93,0)),"")</f>
        <v/>
      </c>
      <c r="I509" s="9" t="inlineStr">
        <is>
          <t>R</t>
        </is>
      </c>
      <c r="J509" s="9" t="inlineStr">
        <is>
          <t>Recurring $706.36/month loan-type payment to 'ALA 0908' - please tell me what this is so I can give it the right category</t>
        </is>
      </c>
    </row>
    <row r="510">
      <c r="A510" s="9" t="inlineStr">
        <is>
          <t>Checking ...0861</t>
        </is>
      </c>
      <c r="B510" s="29" t="n">
        <v>46202</v>
      </c>
      <c r="C510" s="9" t="inlineStr">
        <is>
          <t>Primo Water Corporatio Vista CA              06/27</t>
        </is>
      </c>
      <c r="D510" s="10" t="n">
        <v>-3.1</v>
      </c>
      <c r="E510" s="9" t="inlineStr">
        <is>
          <t>DEBIT_CARD</t>
        </is>
      </c>
      <c r="F510" s="10" t="n">
        <v>1232.68</v>
      </c>
      <c r="G510" s="9" t="inlineStr">
        <is>
          <t>Water</t>
        </is>
      </c>
      <c r="H510">
        <f>IFERROR(INDEX(Categories!$A$5:$A$93,MATCH(G510,Categories!$B$5:$B$93,0)),"")</f>
        <v/>
      </c>
      <c r="I510" s="9" t="inlineStr">
        <is>
          <t>H</t>
        </is>
      </c>
      <c r="J510" s="9" t="inlineStr"/>
    </row>
    <row r="511">
      <c r="A511" s="9" t="inlineStr">
        <is>
          <t>Checking ...0861</t>
        </is>
      </c>
      <c r="B511" s="29" t="n">
        <v>46202</v>
      </c>
      <c r="C511" s="9" t="inlineStr">
        <is>
          <t>Primo Water Corporatio Vista CA              06/27</t>
        </is>
      </c>
      <c r="D511" s="10" t="n">
        <v>-3.1</v>
      </c>
      <c r="E511" s="9" t="inlineStr">
        <is>
          <t>DEBIT_CARD</t>
        </is>
      </c>
      <c r="F511" s="10" t="n">
        <v>1235.78</v>
      </c>
      <c r="G511" s="9" t="inlineStr">
        <is>
          <t>Water</t>
        </is>
      </c>
      <c r="H511">
        <f>IFERROR(INDEX(Categories!$A$5:$A$93,MATCH(G511,Categories!$B$5:$B$93,0)),"")</f>
        <v/>
      </c>
      <c r="I511" s="9" t="inlineStr">
        <is>
          <t>H</t>
        </is>
      </c>
      <c r="J511" s="9" t="inlineStr"/>
    </row>
    <row r="512">
      <c r="A512" s="9" t="inlineStr">
        <is>
          <t>Checking ...0861</t>
        </is>
      </c>
      <c r="B512" s="29" t="n">
        <v>46202</v>
      </c>
      <c r="C512" s="9" t="inlineStr">
        <is>
          <t>Taptap Send New York NY                      06/27</t>
        </is>
      </c>
      <c r="D512" s="10" t="n">
        <v>-33</v>
      </c>
      <c r="E512" s="9" t="inlineStr">
        <is>
          <t>DEBIT_CARD</t>
        </is>
      </c>
      <c r="F512" s="10" t="n">
        <v>1238.88</v>
      </c>
      <c r="G512" s="9" t="inlineStr">
        <is>
          <t>Remittance - others</t>
        </is>
      </c>
      <c r="H512">
        <f>IFERROR(INDEX(Categories!$A$5:$A$93,MATCH(G512,Categories!$B$5:$B$93,0)),"")</f>
        <v/>
      </c>
      <c r="I512" s="9" t="inlineStr">
        <is>
          <t>R</t>
        </is>
      </c>
      <c r="J512" s="9" t="inlineStr">
        <is>
          <t>Remittance app transfer - recipient not shown; please tell me if this is Aron, Aron's tuition, or someone else</t>
        </is>
      </c>
    </row>
    <row r="513">
      <c r="A513" s="9" t="inlineStr">
        <is>
          <t>Checking ...0861</t>
        </is>
      </c>
      <c r="B513" s="29" t="n">
        <v>46202</v>
      </c>
      <c r="C513" s="9" t="inlineStr">
        <is>
          <t>JOLLIBEE SAN JOSE CA                         06/26</t>
        </is>
      </c>
      <c r="D513" s="10" t="n">
        <v>-30.76</v>
      </c>
      <c r="E513" s="9" t="inlineStr">
        <is>
          <t>DEBIT_CARD</t>
        </is>
      </c>
      <c r="F513" s="10" t="n">
        <v>1271.88</v>
      </c>
      <c r="G513" s="9" t="inlineStr">
        <is>
          <t>Food - Eat Out</t>
        </is>
      </c>
      <c r="H513">
        <f>IFERROR(INDEX(Categories!$A$5:$A$93,MATCH(G513,Categories!$B$5:$B$93,0)),"")</f>
        <v/>
      </c>
      <c r="I513" s="9" t="inlineStr">
        <is>
          <t>D</t>
        </is>
      </c>
      <c r="J513" s="9" t="inlineStr">
        <is>
          <t>Restaurant/fast-food - defaulted to Eat Out; move to Food - Ailynn/Chris/Misc if you know whose order it was</t>
        </is>
      </c>
    </row>
    <row r="514">
      <c r="A514" s="9" t="inlineStr">
        <is>
          <t>Checking ...0861</t>
        </is>
      </c>
      <c r="B514" s="29" t="n">
        <v>46202</v>
      </c>
      <c r="C514" s="9" t="inlineStr">
        <is>
          <t>Zelle payment from Katrina T Perez USBDfchsindn</t>
        </is>
      </c>
      <c r="D514" s="10" t="n">
        <v>16</v>
      </c>
      <c r="E514" s="9" t="inlineStr">
        <is>
          <t>PARTNERFI_TO_CHASE</t>
        </is>
      </c>
      <c r="F514" s="10" t="n">
        <v>1302.64</v>
      </c>
      <c r="G514" s="9" t="inlineStr">
        <is>
          <t>Others - Income</t>
        </is>
      </c>
      <c r="H514">
        <f>IFERROR(INDEX(Categories!$A$5:$A$93,MATCH(G514,Categories!$B$5:$B$93,0)),"")</f>
        <v/>
      </c>
      <c r="I514" s="9" t="inlineStr">
        <is>
          <t>R</t>
        </is>
      </c>
      <c r="J514" s="9" t="inlineStr">
        <is>
          <t>Zelle received - please tell me who this person is so I can map them to a category</t>
        </is>
      </c>
    </row>
    <row r="515">
      <c r="A515" s="9" t="inlineStr">
        <is>
          <t>Checking ...0861</t>
        </is>
      </c>
      <c r="B515" s="29" t="n">
        <v>46202</v>
      </c>
      <c r="C515" s="9" t="inlineStr">
        <is>
          <t>Online Transfer from SAV ...5953 transaction#: 29788679000</t>
        </is>
      </c>
      <c r="D515" s="10" t="n">
        <v>1000</v>
      </c>
      <c r="E515" s="9" t="inlineStr">
        <is>
          <t>ACCT_XFER</t>
        </is>
      </c>
      <c r="F515" s="10" t="n">
        <v>1286.64</v>
      </c>
      <c r="G515" s="9" t="inlineStr">
        <is>
          <t>Transfer - Savings to Checking</t>
        </is>
      </c>
      <c r="H515">
        <f>IFERROR(INDEX(Categories!$A$5:$A$93,MATCH(G515,Categories!$B$5:$B$93,0)),"")</f>
        <v/>
      </c>
      <c r="I515" s="9" t="inlineStr">
        <is>
          <t>H</t>
        </is>
      </c>
      <c r="J515" s="9" t="inlineStr"/>
    </row>
    <row r="516">
      <c r="A516" s="9" t="inlineStr">
        <is>
          <t>Checking ...0861</t>
        </is>
      </c>
      <c r="B516" s="29" t="n">
        <v>46202</v>
      </c>
      <c r="C516" s="9" t="inlineStr">
        <is>
          <t>ODP TRANSFER FROM SAVINGS ...5953</t>
        </is>
      </c>
      <c r="D516" s="10" t="n">
        <v>286.64</v>
      </c>
      <c r="E516" s="9" t="inlineStr">
        <is>
          <t>MISC_CREDIT</t>
        </is>
      </c>
      <c r="F516" s="10" t="n">
        <v>286.64</v>
      </c>
      <c r="G516" s="9" t="inlineStr">
        <is>
          <t>Transfer - Savings to Checking</t>
        </is>
      </c>
      <c r="H516">
        <f>IFERROR(INDEX(Categories!$A$5:$A$93,MATCH(G516,Categories!$B$5:$B$93,0)),"")</f>
        <v/>
      </c>
      <c r="I516" s="9" t="inlineStr">
        <is>
          <t>H</t>
        </is>
      </c>
      <c r="J516" s="9" t="inlineStr">
        <is>
          <t>Overdraft-protection auto-pull from savings</t>
        </is>
      </c>
    </row>
    <row r="517">
      <c r="A517" s="9" t="inlineStr">
        <is>
          <t>Checking ...0861</t>
        </is>
      </c>
      <c r="B517" s="29" t="n">
        <v>46199</v>
      </c>
      <c r="C517" s="9" t="inlineStr">
        <is>
          <t>PAYPAL           TRANSFER   ADD TO BALANCE  WEB ID: PAYPALSD22</t>
        </is>
      </c>
      <c r="D517" s="10" t="n">
        <v>-50</v>
      </c>
      <c r="E517" s="9" t="inlineStr">
        <is>
          <t>ACH_DEBIT</t>
        </is>
      </c>
      <c r="F517" s="10" t="n">
        <v>0</v>
      </c>
      <c r="G517" s="9" t="inlineStr">
        <is>
          <t>Transfer - Checking to PayPal</t>
        </is>
      </c>
      <c r="H517">
        <f>IFERROR(INDEX(Categories!$A$5:$A$93,MATCH(G517,Categories!$B$5:$B$93,0)),"")</f>
        <v/>
      </c>
      <c r="I517" s="9" t="inlineStr">
        <is>
          <t>H</t>
        </is>
      </c>
      <c r="J517" s="9" t="inlineStr"/>
    </row>
    <row r="518">
      <c r="A518" s="9" t="inlineStr">
        <is>
          <t>Checking ...0861</t>
        </is>
      </c>
      <c r="B518" s="29" t="n">
        <v>46199</v>
      </c>
      <c r="C518" s="9" t="inlineStr">
        <is>
          <t>SHELL SERVICE STATION GILROY CA      643915  06/26</t>
        </is>
      </c>
      <c r="D518" s="10" t="n">
        <v>-61.7</v>
      </c>
      <c r="E518" s="9" t="inlineStr">
        <is>
          <t>DEBIT_CARD</t>
        </is>
      </c>
      <c r="F518" s="10" t="n">
        <v>50</v>
      </c>
      <c r="G518" s="9" t="inlineStr">
        <is>
          <t>Gas</t>
        </is>
      </c>
      <c r="H518">
        <f>IFERROR(INDEX(Categories!$A$5:$A$93,MATCH(G518,Categories!$B$5:$B$93,0)),"")</f>
        <v/>
      </c>
      <c r="I518" s="9" t="inlineStr">
        <is>
          <t>D</t>
        </is>
      </c>
      <c r="J518" s="9" t="inlineStr"/>
    </row>
    <row r="519">
      <c r="A519" s="9" t="inlineStr">
        <is>
          <t>Checking ...0861</t>
        </is>
      </c>
      <c r="B519" s="29" t="n">
        <v>46199</v>
      </c>
      <c r="C519" s="9" t="inlineStr">
        <is>
          <t>MISSION LANE     EDI PYMNTS                 PPD ID: 2832674981</t>
        </is>
      </c>
      <c r="D519" s="10" t="n">
        <v>-25</v>
      </c>
      <c r="E519" s="9" t="inlineStr">
        <is>
          <t>ACH_DEBIT</t>
        </is>
      </c>
      <c r="F519" s="10" t="n">
        <v>111.7</v>
      </c>
      <c r="G519" s="9" t="inlineStr">
        <is>
          <t>CC - Mission Lane</t>
        </is>
      </c>
      <c r="H519">
        <f>IFERROR(INDEX(Categories!$A$5:$A$93,MATCH(G519,Categories!$B$5:$B$93,0)),"")</f>
        <v/>
      </c>
      <c r="I519" s="9" t="inlineStr">
        <is>
          <t>H</t>
        </is>
      </c>
      <c r="J519" s="9" t="inlineStr"/>
    </row>
    <row r="520">
      <c r="A520" s="9" t="inlineStr">
        <is>
          <t>Checking ...0861</t>
        </is>
      </c>
      <c r="B520" s="29" t="n">
        <v>46199</v>
      </c>
      <c r="C520" s="9" t="inlineStr">
        <is>
          <t>GOOGLE *Google One g.co/helppay# CA          06/26</t>
        </is>
      </c>
      <c r="D520" s="10" t="n">
        <v>-2.99</v>
      </c>
      <c r="E520" s="9" t="inlineStr">
        <is>
          <t>DEBIT_CARD</t>
        </is>
      </c>
      <c r="F520" s="10" t="n">
        <v>136.7</v>
      </c>
      <c r="G520" s="9" t="inlineStr">
        <is>
          <t>Google 1</t>
        </is>
      </c>
      <c r="H520">
        <f>IFERROR(INDEX(Categories!$A$5:$A$93,MATCH(G520,Categories!$B$5:$B$93,0)),"")</f>
        <v/>
      </c>
      <c r="I520" s="9" t="inlineStr">
        <is>
          <t>H</t>
        </is>
      </c>
      <c r="J520" s="9" t="inlineStr"/>
    </row>
    <row r="521">
      <c r="A521" s="9" t="inlineStr">
        <is>
          <t>Checking ...0861</t>
        </is>
      </c>
      <c r="B521" s="29" t="n">
        <v>46199</v>
      </c>
      <c r="C521" s="9" t="inlineStr">
        <is>
          <t>CHEVRON 0091927 WATSONVILLE CA               06/25</t>
        </is>
      </c>
      <c r="D521" s="10" t="n">
        <v>-4.48</v>
      </c>
      <c r="E521" s="9" t="inlineStr">
        <is>
          <t>DEBIT_CARD</t>
        </is>
      </c>
      <c r="F521" s="10" t="n">
        <v>139.69</v>
      </c>
      <c r="G521" s="9" t="inlineStr">
        <is>
          <t>Gas</t>
        </is>
      </c>
      <c r="H521">
        <f>IFERROR(INDEX(Categories!$A$5:$A$93,MATCH(G521,Categories!$B$5:$B$93,0)),"")</f>
        <v/>
      </c>
      <c r="I521" s="9" t="inlineStr">
        <is>
          <t>D</t>
        </is>
      </c>
      <c r="J521" s="9" t="inlineStr"/>
    </row>
    <row r="522">
      <c r="A522" s="9" t="inlineStr">
        <is>
          <t>Checking ...0861</t>
        </is>
      </c>
      <c r="B522" s="29" t="n">
        <v>46199</v>
      </c>
      <c r="C522" s="9" t="inlineStr">
        <is>
          <t>Sendwave 844-9335122 MA                      06/26</t>
        </is>
      </c>
      <c r="D522" s="10" t="n">
        <v>-20.49</v>
      </c>
      <c r="E522" s="9" t="inlineStr">
        <is>
          <t>DEBIT_CARD</t>
        </is>
      </c>
      <c r="F522" s="10" t="n">
        <v>144.17</v>
      </c>
      <c r="G522" s="9" t="inlineStr">
        <is>
          <t>Remittance - others</t>
        </is>
      </c>
      <c r="H522">
        <f>IFERROR(INDEX(Categories!$A$5:$A$93,MATCH(G522,Categories!$B$5:$B$93,0)),"")</f>
        <v/>
      </c>
      <c r="I522" s="9" t="inlineStr">
        <is>
          <t>R</t>
        </is>
      </c>
      <c r="J522" s="9" t="inlineStr">
        <is>
          <t>Remittance app transfer - recipient not shown; please tell me if this is Aron, Aron's tuition, or someone else</t>
        </is>
      </c>
    </row>
    <row r="523">
      <c r="A523" s="9" t="inlineStr">
        <is>
          <t>Checking ...0861</t>
        </is>
      </c>
      <c r="B523" s="29" t="n">
        <v>46199</v>
      </c>
      <c r="C523" s="9" t="inlineStr">
        <is>
          <t>Zelle payment from Katrina T Perez USBAAvmsi33k</t>
        </is>
      </c>
      <c r="D523" s="10" t="n">
        <v>50</v>
      </c>
      <c r="E523" s="9" t="inlineStr">
        <is>
          <t>PARTNERFI_TO_CHASE</t>
        </is>
      </c>
      <c r="F523" s="10" t="n">
        <v>164.66</v>
      </c>
      <c r="G523" s="9" t="inlineStr">
        <is>
          <t>Others - Income</t>
        </is>
      </c>
      <c r="H523">
        <f>IFERROR(INDEX(Categories!$A$5:$A$93,MATCH(G523,Categories!$B$5:$B$93,0)),"")</f>
        <v/>
      </c>
      <c r="I523" s="9" t="inlineStr">
        <is>
          <t>R</t>
        </is>
      </c>
      <c r="J523" s="9" t="inlineStr">
        <is>
          <t>Zelle received - please tell me who this person is so I can map them to a category</t>
        </is>
      </c>
    </row>
    <row r="524">
      <c r="A524" s="9" t="inlineStr">
        <is>
          <t>Checking ...0861</t>
        </is>
      </c>
      <c r="B524" s="29" t="n">
        <v>46199</v>
      </c>
      <c r="C524" s="9" t="inlineStr">
        <is>
          <t>ODP TRANSFER FROM SAVINGS ...5953</t>
        </is>
      </c>
      <c r="D524" s="10" t="n">
        <v>114.66</v>
      </c>
      <c r="E524" s="9" t="inlineStr">
        <is>
          <t>MISC_CREDIT</t>
        </is>
      </c>
      <c r="F524" s="10" t="n">
        <v>114.66</v>
      </c>
      <c r="G524" s="9" t="inlineStr">
        <is>
          <t>Transfer - Savings to Checking</t>
        </is>
      </c>
      <c r="H524">
        <f>IFERROR(INDEX(Categories!$A$5:$A$93,MATCH(G524,Categories!$B$5:$B$93,0)),"")</f>
        <v/>
      </c>
      <c r="I524" s="9" t="inlineStr">
        <is>
          <t>H</t>
        </is>
      </c>
      <c r="J524" s="9" t="inlineStr">
        <is>
          <t>Overdraft-protection auto-pull from savings</t>
        </is>
      </c>
    </row>
    <row r="525">
      <c r="A525" s="9" t="inlineStr">
        <is>
          <t>Checking ...0861</t>
        </is>
      </c>
      <c r="B525" s="29" t="n">
        <v>46198</v>
      </c>
      <c r="C525" s="9" t="inlineStr">
        <is>
          <t>PAYPAL           PURCHASE   GOOGLE YOUTUBE  WEB ID: PAYPALSI77</t>
        </is>
      </c>
      <c r="D525" s="10" t="n">
        <v>-15.99</v>
      </c>
      <c r="E525" s="9" t="inlineStr">
        <is>
          <t>ACH_DEBIT</t>
        </is>
      </c>
      <c r="F525" s="10" t="n">
        <v>0</v>
      </c>
      <c r="G525" s="9" t="inlineStr">
        <is>
          <t>YT Premium</t>
        </is>
      </c>
      <c r="H525">
        <f>IFERROR(INDEX(Categories!$A$5:$A$93,MATCH(G525,Categories!$B$5:$B$93,0)),"")</f>
        <v/>
      </c>
      <c r="I525" s="9" t="inlineStr">
        <is>
          <t>H</t>
        </is>
      </c>
      <c r="J525" s="9" t="inlineStr"/>
    </row>
    <row r="526">
      <c r="A526" s="9" t="inlineStr">
        <is>
          <t>Checking ...0861</t>
        </is>
      </c>
      <c r="B526" s="29" t="n">
        <v>46198</v>
      </c>
      <c r="C526" s="9" t="inlineStr">
        <is>
          <t>PAYPAL           PURCHASE   GOOGLE YESOULFI WEB ID: PAYPALSI77</t>
        </is>
      </c>
      <c r="D526" s="10" t="n">
        <v>-13.99</v>
      </c>
      <c r="E526" s="9" t="inlineStr">
        <is>
          <t>ACH_DEBIT</t>
        </is>
      </c>
      <c r="F526" s="10" t="n">
        <v>15.99</v>
      </c>
      <c r="G526" s="9" t="inlineStr">
        <is>
          <t>Yesoulfitness</t>
        </is>
      </c>
      <c r="H526">
        <f>IFERROR(INDEX(Categories!$A$5:$A$93,MATCH(G526,Categories!$B$5:$B$93,0)),"")</f>
        <v/>
      </c>
      <c r="I526" s="9" t="inlineStr">
        <is>
          <t>H</t>
        </is>
      </c>
      <c r="J526" s="9" t="inlineStr"/>
    </row>
    <row r="527">
      <c r="A527" s="9" t="inlineStr">
        <is>
          <t>Checking ...0861</t>
        </is>
      </c>
      <c r="B527" s="29" t="n">
        <v>46198</v>
      </c>
      <c r="C527" s="9" t="inlineStr">
        <is>
          <t>VERIZON WIRELESS PAYMENTS                   PPD ID: 4223344794</t>
        </is>
      </c>
      <c r="D527" s="10" t="n">
        <v>-390.34</v>
      </c>
      <c r="E527" s="9" t="inlineStr">
        <is>
          <t>MISC_DEBIT</t>
        </is>
      </c>
      <c r="F527" s="10" t="n">
        <v>29.98</v>
      </c>
      <c r="G527" s="9" t="inlineStr">
        <is>
          <t>Verizon</t>
        </is>
      </c>
      <c r="H527">
        <f>IFERROR(INDEX(Categories!$A$5:$A$93,MATCH(G527,Categories!$B$5:$B$93,0)),"")</f>
        <v/>
      </c>
      <c r="I527" s="9" t="inlineStr">
        <is>
          <t>H</t>
        </is>
      </c>
      <c r="J527" s="9" t="inlineStr"/>
    </row>
    <row r="528">
      <c r="A528" s="9" t="inlineStr">
        <is>
          <t>Checking ...0861</t>
        </is>
      </c>
      <c r="B528" s="29" t="n">
        <v>46198</v>
      </c>
      <c r="C528" s="9" t="inlineStr">
        <is>
          <t>Taptap Send New York NY                      06/25</t>
        </is>
      </c>
      <c r="D528" s="10" t="n">
        <v>-49.58</v>
      </c>
      <c r="E528" s="9" t="inlineStr">
        <is>
          <t>DEBIT_CARD</t>
        </is>
      </c>
      <c r="F528" s="10" t="n">
        <v>420.32</v>
      </c>
      <c r="G528" s="9" t="inlineStr">
        <is>
          <t>Remittance - others</t>
        </is>
      </c>
      <c r="H528">
        <f>IFERROR(INDEX(Categories!$A$5:$A$93,MATCH(G528,Categories!$B$5:$B$93,0)),"")</f>
        <v/>
      </c>
      <c r="I528" s="9" t="inlineStr">
        <is>
          <t>R</t>
        </is>
      </c>
      <c r="J528" s="9" t="inlineStr">
        <is>
          <t>Remittance app transfer - recipient not shown; please tell me if this is Aron, Aron's tuition, or someone else</t>
        </is>
      </c>
    </row>
    <row r="529">
      <c r="A529" s="9" t="inlineStr">
        <is>
          <t>Checking ...0861</t>
        </is>
      </c>
      <c r="B529" s="29" t="n">
        <v>46198</v>
      </c>
      <c r="C529" s="9" t="inlineStr">
        <is>
          <t>Taptap Send New York NY                      06/25</t>
        </is>
      </c>
      <c r="D529" s="10" t="n">
        <v>-991.73</v>
      </c>
      <c r="E529" s="9" t="inlineStr">
        <is>
          <t>DEBIT_CARD</t>
        </is>
      </c>
      <c r="F529" s="10" t="n">
        <v>469.9</v>
      </c>
      <c r="G529" s="9" t="inlineStr">
        <is>
          <t>Remittance - others</t>
        </is>
      </c>
      <c r="H529">
        <f>IFERROR(INDEX(Categories!$A$5:$A$93,MATCH(G529,Categories!$B$5:$B$93,0)),"")</f>
        <v/>
      </c>
      <c r="I529" s="9" t="inlineStr">
        <is>
          <t>R</t>
        </is>
      </c>
      <c r="J529" s="9" t="inlineStr">
        <is>
          <t>Remittance app transfer - recipient not shown; please tell me if this is Aron, Aron's tuition, or someone else</t>
        </is>
      </c>
    </row>
    <row r="530">
      <c r="A530" s="9" t="inlineStr">
        <is>
          <t>Checking ...0861</t>
        </is>
      </c>
      <c r="B530" s="29" t="n">
        <v>46198</v>
      </c>
      <c r="C530" s="9" t="inlineStr">
        <is>
          <t>SUDZ LLC SALINAS CA                          06/24</t>
        </is>
      </c>
      <c r="D530" s="10" t="n">
        <v>-5.5</v>
      </c>
      <c r="E530" s="9" t="inlineStr">
        <is>
          <t>DEBIT_CARD</t>
        </is>
      </c>
      <c r="F530" s="10" t="n">
        <v>1461.63</v>
      </c>
      <c r="G530" s="9" t="inlineStr">
        <is>
          <t>Shop - Others</t>
        </is>
      </c>
      <c r="H530">
        <f>IFERROR(INDEX(Categories!$A$5:$A$93,MATCH(G530,Categories!$B$5:$B$93,0)),"")</f>
        <v/>
      </c>
      <c r="I530" s="9" t="inlineStr">
        <is>
          <t>D</t>
        </is>
      </c>
      <c r="J530" s="9" t="inlineStr"/>
    </row>
    <row r="531">
      <c r="A531" s="9" t="inlineStr">
        <is>
          <t>Checking ...0861</t>
        </is>
      </c>
      <c r="B531" s="29" t="n">
        <v>46198</v>
      </c>
      <c r="C531" s="9" t="inlineStr">
        <is>
          <t>GOOGLE *Google One g.co/helppay# CA          06/25</t>
        </is>
      </c>
      <c r="D531" s="10" t="n">
        <v>-2.99</v>
      </c>
      <c r="E531" s="9" t="inlineStr">
        <is>
          <t>DEBIT_CARD</t>
        </is>
      </c>
      <c r="F531" s="10" t="n">
        <v>1467.13</v>
      </c>
      <c r="G531" s="9" t="inlineStr">
        <is>
          <t>Google 1</t>
        </is>
      </c>
      <c r="H531">
        <f>IFERROR(INDEX(Categories!$A$5:$A$93,MATCH(G531,Categories!$B$5:$B$93,0)),"")</f>
        <v/>
      </c>
      <c r="I531" s="9" t="inlineStr">
        <is>
          <t>H</t>
        </is>
      </c>
      <c r="J531" s="9" t="inlineStr"/>
    </row>
    <row r="532">
      <c r="A532" s="9" t="inlineStr">
        <is>
          <t>Checking ...0861</t>
        </is>
      </c>
      <c r="B532" s="29" t="n">
        <v>46198</v>
      </c>
      <c r="C532" s="9" t="inlineStr">
        <is>
          <t>TST*BETTY BURGER-APTOS Aptos CA              06/24</t>
        </is>
      </c>
      <c r="D532" s="10" t="n">
        <v>-19.92</v>
      </c>
      <c r="E532" s="9" t="inlineStr">
        <is>
          <t>DEBIT_CARD</t>
        </is>
      </c>
      <c r="F532" s="10" t="n">
        <v>1470.12</v>
      </c>
      <c r="G532" s="9" t="inlineStr">
        <is>
          <t>Food - Eat Out</t>
        </is>
      </c>
      <c r="H532">
        <f>IFERROR(INDEX(Categories!$A$5:$A$93,MATCH(G532,Categories!$B$5:$B$93,0)),"")</f>
        <v/>
      </c>
      <c r="I532" s="9" t="inlineStr">
        <is>
          <t>D</t>
        </is>
      </c>
      <c r="J532" s="9" t="inlineStr">
        <is>
          <t>Restaurant/fast-food - defaulted to Eat Out; move to Food - Ailynn/Chris/Misc if you know whose order it was</t>
        </is>
      </c>
    </row>
    <row r="533">
      <c r="A533" s="9" t="inlineStr">
        <is>
          <t>Checking ...0861</t>
        </is>
      </c>
      <c r="B533" s="29" t="n">
        <v>46198</v>
      </c>
      <c r="C533" s="9" t="inlineStr">
        <is>
          <t>CHEVRON 0091927 WATSONVILLE CA               06/24</t>
        </is>
      </c>
      <c r="D533" s="10" t="n">
        <v>-81.73</v>
      </c>
      <c r="E533" s="9" t="inlineStr">
        <is>
          <t>DEBIT_CARD</t>
        </is>
      </c>
      <c r="F533" s="10" t="n">
        <v>1490.04</v>
      </c>
      <c r="G533" s="9" t="inlineStr">
        <is>
          <t>Gas</t>
        </is>
      </c>
      <c r="H533">
        <f>IFERROR(INDEX(Categories!$A$5:$A$93,MATCH(G533,Categories!$B$5:$B$93,0)),"")</f>
        <v/>
      </c>
      <c r="I533" s="9" t="inlineStr">
        <is>
          <t>D</t>
        </is>
      </c>
      <c r="J533" s="9" t="inlineStr"/>
    </row>
    <row r="534">
      <c r="A534" s="9" t="inlineStr">
        <is>
          <t>Checking ...0861</t>
        </is>
      </c>
      <c r="B534" s="29" t="n">
        <v>46198</v>
      </c>
      <c r="C534" s="9" t="inlineStr">
        <is>
          <t>ODP TRANSFER FROM SAVINGS ...5953</t>
        </is>
      </c>
      <c r="D534" s="10" t="n">
        <v>1571.77</v>
      </c>
      <c r="E534" s="9" t="inlineStr">
        <is>
          <t>MISC_CREDIT</t>
        </is>
      </c>
      <c r="F534" s="10" t="n">
        <v>1571.77</v>
      </c>
      <c r="G534" s="9" t="inlineStr">
        <is>
          <t>Transfer - Savings to Checking</t>
        </is>
      </c>
      <c r="H534">
        <f>IFERROR(INDEX(Categories!$A$5:$A$93,MATCH(G534,Categories!$B$5:$B$93,0)),"")</f>
        <v/>
      </c>
      <c r="I534" s="9" t="inlineStr">
        <is>
          <t>H</t>
        </is>
      </c>
      <c r="J534" s="9" t="inlineStr">
        <is>
          <t>Overdraft-protection auto-pull from savings</t>
        </is>
      </c>
    </row>
    <row r="535">
      <c r="A535" s="9" t="inlineStr">
        <is>
          <t>Checking ...0861</t>
        </is>
      </c>
      <c r="B535" s="29" t="n">
        <v>46197</v>
      </c>
      <c r="C535" s="9" t="inlineStr">
        <is>
          <t>Sendwave 844-9335122 MA                      06/24</t>
        </is>
      </c>
      <c r="D535" s="10" t="n">
        <v>-200.49</v>
      </c>
      <c r="E535" s="9" t="inlineStr">
        <is>
          <t>DEBIT_CARD</t>
        </is>
      </c>
      <c r="F535" s="10" t="n">
        <v>0</v>
      </c>
      <c r="G535" s="9" t="inlineStr">
        <is>
          <t>Remittance - others</t>
        </is>
      </c>
      <c r="H535">
        <f>IFERROR(INDEX(Categories!$A$5:$A$93,MATCH(G535,Categories!$B$5:$B$93,0)),"")</f>
        <v/>
      </c>
      <c r="I535" s="9" t="inlineStr">
        <is>
          <t>R</t>
        </is>
      </c>
      <c r="J535" s="9" t="inlineStr">
        <is>
          <t>Remittance app transfer - recipient not shown; please tell me if this is Aron, Aron's tuition, or someone else</t>
        </is>
      </c>
    </row>
    <row r="536">
      <c r="A536" s="9" t="inlineStr">
        <is>
          <t>Checking ...0861</t>
        </is>
      </c>
      <c r="B536" s="29" t="n">
        <v>46197</v>
      </c>
      <c r="C536" s="9" t="inlineStr">
        <is>
          <t>CHEVRON 0371739 BAKERSFIELD CA               06/24</t>
        </is>
      </c>
      <c r="D536" s="10" t="n">
        <v>-64.44</v>
      </c>
      <c r="E536" s="9" t="inlineStr">
        <is>
          <t>DEBIT_CARD</t>
        </is>
      </c>
      <c r="F536" s="10" t="n">
        <v>200.49</v>
      </c>
      <c r="G536" s="9" t="inlineStr">
        <is>
          <t>Gas</t>
        </is>
      </c>
      <c r="H536">
        <f>IFERROR(INDEX(Categories!$A$5:$A$93,MATCH(G536,Categories!$B$5:$B$93,0)),"")</f>
        <v/>
      </c>
      <c r="I536" s="9" t="inlineStr">
        <is>
          <t>D</t>
        </is>
      </c>
      <c r="J536" s="9" t="inlineStr"/>
    </row>
    <row r="537">
      <c r="A537" s="9" t="inlineStr">
        <is>
          <t>Checking ...0861</t>
        </is>
      </c>
      <c r="B537" s="29" t="n">
        <v>46197</v>
      </c>
      <c r="C537" s="9" t="inlineStr">
        <is>
          <t>ALIEN FRESH JERKY BAKER CA                   06/23</t>
        </is>
      </c>
      <c r="D537" s="10" t="n">
        <v>-49.97</v>
      </c>
      <c r="E537" s="9" t="inlineStr">
        <is>
          <t>DEBIT_CARD</t>
        </is>
      </c>
      <c r="F537" s="10" t="n">
        <v>264.93</v>
      </c>
      <c r="G537" s="9" t="inlineStr">
        <is>
          <t>Food - Eat Out</t>
        </is>
      </c>
      <c r="H537">
        <f>IFERROR(INDEX(Categories!$A$5:$A$93,MATCH(G537,Categories!$B$5:$B$93,0)),"")</f>
        <v/>
      </c>
      <c r="I537" s="9" t="inlineStr">
        <is>
          <t>D</t>
        </is>
      </c>
      <c r="J537" s="9" t="inlineStr">
        <is>
          <t>Restaurant/fast-food - defaulted to Eat Out; move to Food - Ailynn/Chris/Misc if you know whose order it was</t>
        </is>
      </c>
    </row>
    <row r="538">
      <c r="A538" s="9" t="inlineStr">
        <is>
          <t>Checking ...0861</t>
        </is>
      </c>
      <c r="B538" s="29" t="n">
        <v>46197</v>
      </c>
      <c r="C538" s="9" t="inlineStr">
        <is>
          <t>Klarna*Fabletics  LL Columbus OH             06/24</t>
        </is>
      </c>
      <c r="D538" s="10" t="n">
        <v>-13.17</v>
      </c>
      <c r="E538" s="9" t="inlineStr">
        <is>
          <t>DEBIT_CARD</t>
        </is>
      </c>
      <c r="F538" s="10" t="n">
        <v>314.9</v>
      </c>
      <c r="G538" s="9" t="inlineStr">
        <is>
          <t>Klarna</t>
        </is>
      </c>
      <c r="H538">
        <f>IFERROR(INDEX(Categories!$A$5:$A$93,MATCH(G538,Categories!$B$5:$B$93,0)),"")</f>
        <v/>
      </c>
      <c r="I538" s="9" t="inlineStr">
        <is>
          <t>H</t>
        </is>
      </c>
      <c r="J538" s="9" t="inlineStr"/>
    </row>
    <row r="539">
      <c r="A539" s="9" t="inlineStr">
        <is>
          <t>Checking ...0861</t>
        </is>
      </c>
      <c r="B539" s="29" t="n">
        <v>46197</v>
      </c>
      <c r="C539" s="9" t="inlineStr">
        <is>
          <t>SHELL OIL 57441408309 LAS VEGAS NV           06/23</t>
        </is>
      </c>
      <c r="D539" s="10" t="n">
        <v>-0.06</v>
      </c>
      <c r="E539" s="9" t="inlineStr">
        <is>
          <t>DEBIT_CARD</t>
        </is>
      </c>
      <c r="F539" s="10" t="n">
        <v>328.07</v>
      </c>
      <c r="G539" s="9" t="inlineStr">
        <is>
          <t>Gas</t>
        </is>
      </c>
      <c r="H539">
        <f>IFERROR(INDEX(Categories!$A$5:$A$93,MATCH(G539,Categories!$B$5:$B$93,0)),"")</f>
        <v/>
      </c>
      <c r="I539" s="9" t="inlineStr">
        <is>
          <t>D</t>
        </is>
      </c>
      <c r="J539" s="9" t="inlineStr"/>
    </row>
    <row r="540">
      <c r="A540" s="9" t="inlineStr">
        <is>
          <t>Checking ...0861</t>
        </is>
      </c>
      <c r="B540" s="29" t="n">
        <v>46197</v>
      </c>
      <c r="C540" s="9" t="inlineStr">
        <is>
          <t>SQ *BK BAKERY LLC Las Vegas NV               06/23</t>
        </is>
      </c>
      <c r="D540" s="10" t="n">
        <v>-74.13</v>
      </c>
      <c r="E540" s="9" t="inlineStr">
        <is>
          <t>DEBIT_CARD</t>
        </is>
      </c>
      <c r="F540" s="10" t="n">
        <v>328.13</v>
      </c>
      <c r="G540" s="9" t="inlineStr">
        <is>
          <t>Food - Eat Out</t>
        </is>
      </c>
      <c r="H540">
        <f>IFERROR(INDEX(Categories!$A$5:$A$93,MATCH(G540,Categories!$B$5:$B$93,0)),"")</f>
        <v/>
      </c>
      <c r="I540" s="9" t="inlineStr">
        <is>
          <t>D</t>
        </is>
      </c>
      <c r="J540" s="9" t="inlineStr">
        <is>
          <t>Restaurant/fast-food - defaulted to Eat Out; move to Food - Ailynn/Chris/Misc if you know whose order it was</t>
        </is>
      </c>
    </row>
    <row r="541">
      <c r="A541" s="9" t="inlineStr">
        <is>
          <t>Checking ...0861</t>
        </is>
      </c>
      <c r="B541" s="29" t="n">
        <v>46197</v>
      </c>
      <c r="C541" s="9" t="inlineStr">
        <is>
          <t>PAYPAL *PYPL PAYIN4 402-935-7733 CA          06/23</t>
        </is>
      </c>
      <c r="D541" s="10" t="n">
        <v>-68.04000000000001</v>
      </c>
      <c r="E541" s="9" t="inlineStr">
        <is>
          <t>DEBIT_CARD</t>
        </is>
      </c>
      <c r="F541" s="10" t="n">
        <v>402.26</v>
      </c>
      <c r="G541" s="9" t="inlineStr">
        <is>
          <t>Paypal pay in 4</t>
        </is>
      </c>
      <c r="H541">
        <f>IFERROR(INDEX(Categories!$A$5:$A$93,MATCH(G541,Categories!$B$5:$B$93,0)),"")</f>
        <v/>
      </c>
      <c r="I541" s="9" t="inlineStr">
        <is>
          <t>H</t>
        </is>
      </c>
      <c r="J541" s="9" t="inlineStr"/>
    </row>
    <row r="542">
      <c r="A542" s="9" t="inlineStr">
        <is>
          <t>Checking ...0861</t>
        </is>
      </c>
      <c r="B542" s="29" t="n">
        <v>46197</v>
      </c>
      <c r="C542" s="9" t="inlineStr">
        <is>
          <t>QUALITY INNS RCH CUCAMONGA CA                06/22</t>
        </is>
      </c>
      <c r="D542" s="10" t="n">
        <v>-95.59</v>
      </c>
      <c r="E542" s="9" t="inlineStr">
        <is>
          <t>DEBIT_CARD</t>
        </is>
      </c>
      <c r="F542" s="10" t="n">
        <v>470.3</v>
      </c>
      <c r="G542" s="9" t="inlineStr">
        <is>
          <t>Vacation</t>
        </is>
      </c>
      <c r="H542">
        <f>IFERROR(INDEX(Categories!$A$5:$A$93,MATCH(G542,Categories!$B$5:$B$93,0)),"")</f>
        <v/>
      </c>
      <c r="I542" s="9" t="inlineStr">
        <is>
          <t>D</t>
        </is>
      </c>
      <c r="J542" s="9" t="inlineStr">
        <is>
          <t>Hotel/travel-city charge, looks like part of a trip</t>
        </is>
      </c>
    </row>
    <row r="543">
      <c r="A543" s="9" t="inlineStr">
        <is>
          <t>Checking ...0861</t>
        </is>
      </c>
      <c r="B543" s="29" t="n">
        <v>46197</v>
      </c>
      <c r="C543" s="9" t="inlineStr">
        <is>
          <t>Zelle payment from ANGELYNN FLORA PNCAA0bFJ28L</t>
        </is>
      </c>
      <c r="D543" s="10" t="n">
        <v>200</v>
      </c>
      <c r="E543" s="9" t="inlineStr">
        <is>
          <t>PARTNERFI_TO_CHASE</t>
        </is>
      </c>
      <c r="F543" s="10" t="n">
        <v>565.89</v>
      </c>
      <c r="G543" s="9" t="inlineStr">
        <is>
          <t>Others - Income</t>
        </is>
      </c>
      <c r="H543">
        <f>IFERROR(INDEX(Categories!$A$5:$A$93,MATCH(G543,Categories!$B$5:$B$93,0)),"")</f>
        <v/>
      </c>
      <c r="I543" s="9" t="inlineStr">
        <is>
          <t>R</t>
        </is>
      </c>
      <c r="J543" s="9" t="inlineStr">
        <is>
          <t>Zelle received - please tell me who this person is so I can map them to a category</t>
        </is>
      </c>
    </row>
    <row r="544">
      <c r="A544" s="9" t="inlineStr">
        <is>
          <t>Checking ...0861</t>
        </is>
      </c>
      <c r="B544" s="29" t="n">
        <v>46197</v>
      </c>
      <c r="C544" s="9" t="inlineStr">
        <is>
          <t>ODP TRANSFER FROM SAVINGS ...5953</t>
        </is>
      </c>
      <c r="D544" s="10" t="n">
        <v>365.89</v>
      </c>
      <c r="E544" s="9" t="inlineStr">
        <is>
          <t>MISC_CREDIT</t>
        </is>
      </c>
      <c r="F544" s="10" t="n">
        <v>365.89</v>
      </c>
      <c r="G544" s="9" t="inlineStr">
        <is>
          <t>Transfer - Savings to Checking</t>
        </is>
      </c>
      <c r="H544">
        <f>IFERROR(INDEX(Categories!$A$5:$A$93,MATCH(G544,Categories!$B$5:$B$93,0)),"")</f>
        <v/>
      </c>
      <c r="I544" s="9" t="inlineStr">
        <is>
          <t>H</t>
        </is>
      </c>
      <c r="J544" s="9" t="inlineStr">
        <is>
          <t>Overdraft-protection auto-pull from savings</t>
        </is>
      </c>
    </row>
    <row r="545">
      <c r="A545" s="9" t="inlineStr">
        <is>
          <t>Checking ...0861</t>
        </is>
      </c>
      <c r="B545" s="29" t="n">
        <v>46196</v>
      </c>
      <c r="C545" s="9" t="inlineStr">
        <is>
          <t>FASTRAK CSC 415-486-8655 CA                  06/23</t>
        </is>
      </c>
      <c r="D545" s="10" t="n">
        <v>-25</v>
      </c>
      <c r="E545" s="9" t="inlineStr">
        <is>
          <t>DEBIT_CARD</t>
        </is>
      </c>
      <c r="F545" s="10" t="n">
        <v>0</v>
      </c>
      <c r="G545" s="9" t="inlineStr">
        <is>
          <t>Gas</t>
        </is>
      </c>
      <c r="H545">
        <f>IFERROR(INDEX(Categories!$A$5:$A$93,MATCH(G545,Categories!$B$5:$B$93,0)),"")</f>
        <v/>
      </c>
      <c r="I545" s="9" t="inlineStr">
        <is>
          <t>D</t>
        </is>
      </c>
      <c r="J545" s="9" t="inlineStr"/>
    </row>
    <row r="546">
      <c r="A546" s="9" t="inlineStr">
        <is>
          <t>Checking ...0861</t>
        </is>
      </c>
      <c r="B546" s="29" t="n">
        <v>46196</v>
      </c>
      <c r="C546" s="9" t="inlineStr">
        <is>
          <t>GOOGLE *Life360 Stay g.co/helppay# CA        06/23</t>
        </is>
      </c>
      <c r="D546" s="10" t="n">
        <v>-14.99</v>
      </c>
      <c r="E546" s="9" t="inlineStr">
        <is>
          <t>DEBIT_CARD</t>
        </is>
      </c>
      <c r="F546" s="10" t="n">
        <v>25</v>
      </c>
      <c r="G546" s="9" t="inlineStr">
        <is>
          <t>Life 360</t>
        </is>
      </c>
      <c r="H546">
        <f>IFERROR(INDEX(Categories!$A$5:$A$93,MATCH(G546,Categories!$B$5:$B$93,0)),"")</f>
        <v/>
      </c>
      <c r="I546" s="9" t="inlineStr">
        <is>
          <t>H</t>
        </is>
      </c>
      <c r="J546" s="9" t="inlineStr"/>
    </row>
    <row r="547">
      <c r="A547" s="9" t="inlineStr">
        <is>
          <t>Checking ...0861</t>
        </is>
      </c>
      <c r="B547" s="29" t="n">
        <v>46196</v>
      </c>
      <c r="C547" s="9" t="inlineStr">
        <is>
          <t>ODP TRANSFER FROM SAVINGS ...5953</t>
        </is>
      </c>
      <c r="D547" s="10" t="n">
        <v>39.99</v>
      </c>
      <c r="E547" s="9" t="inlineStr">
        <is>
          <t>MISC_CREDIT</t>
        </is>
      </c>
      <c r="F547" s="10" t="n">
        <v>39.99</v>
      </c>
      <c r="G547" s="9" t="inlineStr">
        <is>
          <t>Transfer - Savings to Checking</t>
        </is>
      </c>
      <c r="H547">
        <f>IFERROR(INDEX(Categories!$A$5:$A$93,MATCH(G547,Categories!$B$5:$B$93,0)),"")</f>
        <v/>
      </c>
      <c r="I547" s="9" t="inlineStr">
        <is>
          <t>H</t>
        </is>
      </c>
      <c r="J547" s="9" t="inlineStr">
        <is>
          <t>Overdraft-protection auto-pull from savings</t>
        </is>
      </c>
    </row>
    <row r="548">
      <c r="A548" s="9" t="inlineStr">
        <is>
          <t>Checking ...0861</t>
        </is>
      </c>
      <c r="B548" s="29" t="n">
        <v>46195</v>
      </c>
      <c r="C548" s="9" t="inlineStr">
        <is>
          <t>WAL-MART #5751 SALINAS CA                    06/22</t>
        </is>
      </c>
      <c r="D548" s="10" t="n">
        <v>-133.06</v>
      </c>
      <c r="E548" s="9" t="inlineStr">
        <is>
          <t>DEBIT_CARD</t>
        </is>
      </c>
      <c r="F548" s="10" t="n">
        <v>0</v>
      </c>
      <c r="G548" s="9" t="inlineStr">
        <is>
          <t>Groceries - Walmart</t>
        </is>
      </c>
      <c r="H548">
        <f>IFERROR(INDEX(Categories!$A$5:$A$93,MATCH(G548,Categories!$B$5:$B$93,0)),"")</f>
        <v/>
      </c>
      <c r="I548" s="9" t="inlineStr">
        <is>
          <t>H</t>
        </is>
      </c>
      <c r="J548" s="9" t="inlineStr"/>
    </row>
    <row r="549">
      <c r="A549" s="9" t="inlineStr">
        <is>
          <t>Checking ...0861</t>
        </is>
      </c>
      <c r="B549" s="29" t="n">
        <v>46195</v>
      </c>
      <c r="C549" s="9" t="inlineStr">
        <is>
          <t>CSAA INSURANCE   BILLPAY                    PPD ID: 0000000160</t>
        </is>
      </c>
      <c r="D549" s="10" t="n">
        <v>-822.87</v>
      </c>
      <c r="E549" s="9" t="inlineStr">
        <is>
          <t>ACH_DEBIT</t>
        </is>
      </c>
      <c r="F549" s="10" t="n">
        <v>133.06</v>
      </c>
      <c r="G549" s="9" t="inlineStr">
        <is>
          <t>Car insurance</t>
        </is>
      </c>
      <c r="H549">
        <f>IFERROR(INDEX(Categories!$A$5:$A$93,MATCH(G549,Categories!$B$5:$B$93,0)),"")</f>
        <v/>
      </c>
      <c r="I549" s="9" t="inlineStr">
        <is>
          <t>H</t>
        </is>
      </c>
      <c r="J549" s="9" t="inlineStr"/>
    </row>
    <row r="550">
      <c r="A550" s="9" t="inlineStr">
        <is>
          <t>Checking ...0861</t>
        </is>
      </c>
      <c r="B550" s="29" t="n">
        <v>46195</v>
      </c>
      <c r="C550" s="9" t="inlineStr">
        <is>
          <t>CITI CARD ONLINE PAYMENT    422045715994397 WEB ID: CITICTP</t>
        </is>
      </c>
      <c r="D550" s="10" t="n">
        <v>-900</v>
      </c>
      <c r="E550" s="9" t="inlineStr">
        <is>
          <t>ACH_DEBIT</t>
        </is>
      </c>
      <c r="F550" s="10" t="n">
        <v>955.9299999999999</v>
      </c>
      <c r="G550" s="9" t="inlineStr">
        <is>
          <t>CC - Citibank</t>
        </is>
      </c>
      <c r="H550">
        <f>IFERROR(INDEX(Categories!$A$5:$A$93,MATCH(G550,Categories!$B$5:$B$93,0)),"")</f>
        <v/>
      </c>
      <c r="I550" s="9" t="inlineStr">
        <is>
          <t>H</t>
        </is>
      </c>
      <c r="J550" s="9" t="inlineStr"/>
    </row>
    <row r="551">
      <c r="A551" s="9" t="inlineStr">
        <is>
          <t>Checking ...0861</t>
        </is>
      </c>
      <c r="B551" s="29" t="n">
        <v>46195</v>
      </c>
      <c r="C551" s="9" t="inlineStr">
        <is>
          <t>AMAZON MARKETPLA INTERNET   043000093605554 WEB ID: 9049016352</t>
        </is>
      </c>
      <c r="D551" s="10" t="n">
        <v>-7.6</v>
      </c>
      <c r="E551" s="9" t="inlineStr">
        <is>
          <t>ACH_DEBIT</t>
        </is>
      </c>
      <c r="F551" s="10" t="n">
        <v>1855.93</v>
      </c>
      <c r="G551" s="9" t="inlineStr">
        <is>
          <t>Shop - Amazon</t>
        </is>
      </c>
      <c r="H551">
        <f>IFERROR(INDEX(Categories!$A$5:$A$93,MATCH(G551,Categories!$B$5:$B$93,0)),"")</f>
        <v/>
      </c>
      <c r="I551" s="9" t="inlineStr">
        <is>
          <t>H</t>
        </is>
      </c>
      <c r="J551" s="9" t="inlineStr"/>
    </row>
    <row r="552">
      <c r="A552" s="9" t="inlineStr">
        <is>
          <t>Checking ...0861</t>
        </is>
      </c>
      <c r="B552" s="29" t="n">
        <v>46195</v>
      </c>
      <c r="C552" s="9" t="inlineStr">
        <is>
          <t>AMAZON MARKETPLA INTERNET   043000093651170 WEB ID: 9049016352</t>
        </is>
      </c>
      <c r="D552" s="10" t="n">
        <v>-8.68</v>
      </c>
      <c r="E552" s="9" t="inlineStr">
        <is>
          <t>ACH_DEBIT</t>
        </is>
      </c>
      <c r="F552" s="10" t="n">
        <v>1863.53</v>
      </c>
      <c r="G552" s="9" t="inlineStr">
        <is>
          <t>Shop - Amazon</t>
        </is>
      </c>
      <c r="H552">
        <f>IFERROR(INDEX(Categories!$A$5:$A$93,MATCH(G552,Categories!$B$5:$B$93,0)),"")</f>
        <v/>
      </c>
      <c r="I552" s="9" t="inlineStr">
        <is>
          <t>H</t>
        </is>
      </c>
      <c r="J552" s="9" t="inlineStr"/>
    </row>
    <row r="553">
      <c r="A553" s="9" t="inlineStr">
        <is>
          <t>Checking ...0861</t>
        </is>
      </c>
      <c r="B553" s="29" t="n">
        <v>46195</v>
      </c>
      <c r="C553" s="9" t="inlineStr">
        <is>
          <t>PAYPAL           PURCHASE   AARP            WEB ID: PAYPALSI77</t>
        </is>
      </c>
      <c r="D553" s="10" t="n">
        <v>-15</v>
      </c>
      <c r="E553" s="9" t="inlineStr">
        <is>
          <t>ACH_DEBIT</t>
        </is>
      </c>
      <c r="F553" s="10" t="n">
        <v>1872.21</v>
      </c>
      <c r="G553" s="9" t="inlineStr">
        <is>
          <t>Others</t>
        </is>
      </c>
      <c r="H553">
        <f>IFERROR(INDEX(Categories!$A$5:$A$93,MATCH(G553,Categories!$B$5:$B$93,0)),"")</f>
        <v/>
      </c>
      <c r="I553" s="9" t="inlineStr">
        <is>
          <t>R</t>
        </is>
      </c>
      <c r="J553" s="9" t="inlineStr">
        <is>
          <t>Subscription/purchase via PayPal (Apple, Etsy, Google apps, Lyft, AARP, etc.) - no matching category</t>
        </is>
      </c>
    </row>
    <row r="554">
      <c r="A554" s="9" t="inlineStr">
        <is>
          <t>Checking ...0861</t>
        </is>
      </c>
      <c r="B554" s="29" t="n">
        <v>46195</v>
      </c>
      <c r="C554" s="9" t="inlineStr">
        <is>
          <t>PAYPAL           PURCHASE   TIKTOK SHOP     WEB ID: PAYPALSI77</t>
        </is>
      </c>
      <c r="D554" s="10" t="n">
        <v>-31.97</v>
      </c>
      <c r="E554" s="9" t="inlineStr">
        <is>
          <t>ACH_DEBIT</t>
        </is>
      </c>
      <c r="F554" s="10" t="n">
        <v>1887.21</v>
      </c>
      <c r="G554" s="9" t="inlineStr">
        <is>
          <t>paypal tiktok</t>
        </is>
      </c>
      <c r="H554">
        <f>IFERROR(INDEX(Categories!$A$5:$A$93,MATCH(G554,Categories!$B$5:$B$93,0)),"")</f>
        <v/>
      </c>
      <c r="I554" s="9" t="inlineStr">
        <is>
          <t>H</t>
        </is>
      </c>
      <c r="J554" s="9" t="inlineStr"/>
    </row>
    <row r="555">
      <c r="A555" s="9" t="inlineStr">
        <is>
          <t>Checking ...0861</t>
        </is>
      </c>
      <c r="B555" s="29" t="n">
        <v>46195</v>
      </c>
      <c r="C555" s="9" t="inlineStr">
        <is>
          <t>PAYPAL           INST XFER  CREDIT REPAYMEN WEB ID: PAYPALSI77</t>
        </is>
      </c>
      <c r="D555" s="10" t="n">
        <v>-43.49</v>
      </c>
      <c r="E555" s="9" t="inlineStr">
        <is>
          <t>ACH_DEBIT</t>
        </is>
      </c>
      <c r="F555" s="10" t="n">
        <v>1919.18</v>
      </c>
      <c r="G555" s="9" t="inlineStr">
        <is>
          <t>Others</t>
        </is>
      </c>
      <c r="H555">
        <f>IFERROR(INDEX(Categories!$A$5:$A$93,MATCH(G555,Categories!$B$5:$B$93,0)),"")</f>
        <v/>
      </c>
      <c r="I555" s="9" t="inlineStr">
        <is>
          <t>R</t>
        </is>
      </c>
      <c r="J555" s="9" t="inlineStr"/>
    </row>
    <row r="556">
      <c r="A556" s="9" t="inlineStr">
        <is>
          <t>Checking ...0861</t>
        </is>
      </c>
      <c r="B556" s="29" t="n">
        <v>46195</v>
      </c>
      <c r="C556" s="9" t="inlineStr">
        <is>
          <t>PAYPAL           PURCHASE   TIKTOK SHOP     WEB ID: PAYPALSI77</t>
        </is>
      </c>
      <c r="D556" s="10" t="n">
        <v>-49.53</v>
      </c>
      <c r="E556" s="9" t="inlineStr">
        <is>
          <t>ACH_DEBIT</t>
        </is>
      </c>
      <c r="F556" s="10" t="n">
        <v>1962.67</v>
      </c>
      <c r="G556" s="9" t="inlineStr">
        <is>
          <t>paypal tiktok</t>
        </is>
      </c>
      <c r="H556">
        <f>IFERROR(INDEX(Categories!$A$5:$A$93,MATCH(G556,Categories!$B$5:$B$93,0)),"")</f>
        <v/>
      </c>
      <c r="I556" s="9" t="inlineStr">
        <is>
          <t>H</t>
        </is>
      </c>
      <c r="J556" s="9" t="inlineStr"/>
    </row>
    <row r="557">
      <c r="A557" s="9" t="inlineStr">
        <is>
          <t>Checking ...0861</t>
        </is>
      </c>
      <c r="B557" s="29" t="n">
        <v>46195</v>
      </c>
      <c r="C557" s="9" t="inlineStr">
        <is>
          <t>PAYPAL           TRANSFER   ADD TO BALANCE  WEB ID: PAYPALSD22</t>
        </is>
      </c>
      <c r="D557" s="10" t="n">
        <v>-50</v>
      </c>
      <c r="E557" s="9" t="inlineStr">
        <is>
          <t>ACH_DEBIT</t>
        </is>
      </c>
      <c r="F557" s="10" t="n">
        <v>2012.2</v>
      </c>
      <c r="G557" s="9" t="inlineStr">
        <is>
          <t>Transfer - Checking to PayPal</t>
        </is>
      </c>
      <c r="H557">
        <f>IFERROR(INDEX(Categories!$A$5:$A$93,MATCH(G557,Categories!$B$5:$B$93,0)),"")</f>
        <v/>
      </c>
      <c r="I557" s="9" t="inlineStr">
        <is>
          <t>H</t>
        </is>
      </c>
      <c r="J557" s="9" t="inlineStr"/>
    </row>
    <row r="558">
      <c r="A558" s="9" t="inlineStr">
        <is>
          <t>Checking ...0861</t>
        </is>
      </c>
      <c r="B558" s="29" t="n">
        <v>46195</v>
      </c>
      <c r="C558" s="9" t="inlineStr">
        <is>
          <t>VENMO            PURCHASE   1051119906990   WEB ID: 3264681992</t>
        </is>
      </c>
      <c r="D558" s="10" t="n">
        <v>-171.39</v>
      </c>
      <c r="E558" s="9" t="inlineStr">
        <is>
          <t>MISC_DEBIT</t>
        </is>
      </c>
      <c r="F558" s="10" t="n">
        <v>2062.2</v>
      </c>
      <c r="G558" s="9" t="inlineStr">
        <is>
          <t>Others</t>
        </is>
      </c>
      <c r="H558">
        <f>IFERROR(INDEX(Categories!$A$5:$A$93,MATCH(G558,Categories!$B$5:$B$93,0)),"")</f>
        <v/>
      </c>
      <c r="I558" s="9" t="inlineStr">
        <is>
          <t>R</t>
        </is>
      </c>
      <c r="J558" s="9" t="inlineStr">
        <is>
          <t>Rideshare or Venmo payment - no matching category, and Venmo recipient is unclear</t>
        </is>
      </c>
    </row>
    <row r="559">
      <c r="A559" s="9" t="inlineStr">
        <is>
          <t>Checking ...0861</t>
        </is>
      </c>
      <c r="B559" s="29" t="n">
        <v>46195</v>
      </c>
      <c r="C559" s="9" t="inlineStr">
        <is>
          <t>AFFIRM.COM PAYME AFFIRM.COM ST-R2F1D9U4I7B3 WEB ID: 4270465600</t>
        </is>
      </c>
      <c r="D559" s="10" t="n">
        <v>-213.31</v>
      </c>
      <c r="E559" s="9" t="inlineStr">
        <is>
          <t>ACH_DEBIT</t>
        </is>
      </c>
      <c r="F559" s="10" t="n">
        <v>2233.59</v>
      </c>
      <c r="G559" s="9" t="inlineStr">
        <is>
          <t>Affirm</t>
        </is>
      </c>
      <c r="H559">
        <f>IFERROR(INDEX(Categories!$A$5:$A$93,MATCH(G559,Categories!$B$5:$B$93,0)),"")</f>
        <v/>
      </c>
      <c r="I559" s="9" t="inlineStr">
        <is>
          <t>H</t>
        </is>
      </c>
      <c r="J559" s="9" t="inlineStr"/>
    </row>
    <row r="560">
      <c r="A560" s="9" t="inlineStr">
        <is>
          <t>Checking ...0861</t>
        </is>
      </c>
      <c r="B560" s="29" t="n">
        <v>46195</v>
      </c>
      <c r="C560" s="9" t="inlineStr">
        <is>
          <t>PAYPAL           INST XFER  PPCR CC REPAYME WEB ID: PAYPALSI77</t>
        </is>
      </c>
      <c r="D560" s="10" t="n">
        <v>-1056.99</v>
      </c>
      <c r="E560" s="9" t="inlineStr">
        <is>
          <t>ACH_DEBIT</t>
        </is>
      </c>
      <c r="F560" s="10" t="n">
        <v>2446.9</v>
      </c>
      <c r="G560" s="9" t="inlineStr">
        <is>
          <t>CC - paypal</t>
        </is>
      </c>
      <c r="H560">
        <f>IFERROR(INDEX(Categories!$A$5:$A$93,MATCH(G560,Categories!$B$5:$B$93,0)),"")</f>
        <v/>
      </c>
      <c r="I560" s="9" t="inlineStr">
        <is>
          <t>H</t>
        </is>
      </c>
      <c r="J560" s="9" t="inlineStr"/>
    </row>
    <row r="561">
      <c r="A561" s="9" t="inlineStr">
        <is>
          <t>Checking ...0861</t>
        </is>
      </c>
      <c r="B561" s="29" t="n">
        <v>46195</v>
      </c>
      <c r="C561" s="9" t="inlineStr">
        <is>
          <t>MCDONALD'S F26499 LOST HILLS CA              06/21</t>
        </is>
      </c>
      <c r="D561" s="10" t="n">
        <v>-11.9</v>
      </c>
      <c r="E561" s="9" t="inlineStr">
        <is>
          <t>DEBIT_CARD</t>
        </is>
      </c>
      <c r="F561" s="10" t="n">
        <v>3503.89</v>
      </c>
      <c r="G561" s="9" t="inlineStr">
        <is>
          <t>Food - Eat Out</t>
        </is>
      </c>
      <c r="H561">
        <f>IFERROR(INDEX(Categories!$A$5:$A$93,MATCH(G561,Categories!$B$5:$B$93,0)),"")</f>
        <v/>
      </c>
      <c r="I561" s="9" t="inlineStr">
        <is>
          <t>D</t>
        </is>
      </c>
      <c r="J561" s="9" t="inlineStr">
        <is>
          <t>Restaurant/fast-food - defaulted to Eat Out; move to Food - Ailynn/Chris/Misc if you know whose order it was</t>
        </is>
      </c>
    </row>
    <row r="562">
      <c r="A562" s="9" t="inlineStr">
        <is>
          <t>Checking ...0861</t>
        </is>
      </c>
      <c r="B562" s="29" t="n">
        <v>46195</v>
      </c>
      <c r="C562" s="9" t="inlineStr">
        <is>
          <t>D &amp; R MKT LOST HILLS CA                      06/21</t>
        </is>
      </c>
      <c r="D562" s="10" t="n">
        <v>-30.39</v>
      </c>
      <c r="E562" s="9" t="inlineStr">
        <is>
          <t>DEBIT_CARD</t>
        </is>
      </c>
      <c r="F562" s="10" t="n">
        <v>3515.79</v>
      </c>
      <c r="G562" s="9" t="inlineStr">
        <is>
          <t>Gas</t>
        </is>
      </c>
      <c r="H562">
        <f>IFERROR(INDEX(Categories!$A$5:$A$93,MATCH(G562,Categories!$B$5:$B$93,0)),"")</f>
        <v/>
      </c>
      <c r="I562" s="9" t="inlineStr">
        <is>
          <t>D</t>
        </is>
      </c>
      <c r="J562" s="9" t="inlineStr"/>
    </row>
    <row r="563">
      <c r="A563" s="9" t="inlineStr">
        <is>
          <t>Checking ...0861</t>
        </is>
      </c>
      <c r="B563" s="29" t="n">
        <v>46195</v>
      </c>
      <c r="C563" s="9" t="inlineStr">
        <is>
          <t>CHEVRON 0096675 SOLEDAD CA                   06/21</t>
        </is>
      </c>
      <c r="D563" s="10" t="n">
        <v>-71.56</v>
      </c>
      <c r="E563" s="9" t="inlineStr">
        <is>
          <t>DEBIT_CARD</t>
        </is>
      </c>
      <c r="F563" s="10" t="n">
        <v>3546.18</v>
      </c>
      <c r="G563" s="9" t="inlineStr">
        <is>
          <t>Gas</t>
        </is>
      </c>
      <c r="H563">
        <f>IFERROR(INDEX(Categories!$A$5:$A$93,MATCH(G563,Categories!$B$5:$B$93,0)),"")</f>
        <v/>
      </c>
      <c r="I563" s="9" t="inlineStr">
        <is>
          <t>D</t>
        </is>
      </c>
      <c r="J563" s="9" t="inlineStr"/>
    </row>
    <row r="564">
      <c r="A564" s="9" t="inlineStr">
        <is>
          <t>Checking ...0861</t>
        </is>
      </c>
      <c r="B564" s="29" t="n">
        <v>46195</v>
      </c>
      <c r="C564" s="9" t="inlineStr">
        <is>
          <t>SHELL OIL 10010249000 GILROY CA              06/21</t>
        </is>
      </c>
      <c r="D564" s="10" t="n">
        <v>-69.51000000000001</v>
      </c>
      <c r="E564" s="9" t="inlineStr">
        <is>
          <t>DEBIT_CARD</t>
        </is>
      </c>
      <c r="F564" s="10" t="n">
        <v>3617.74</v>
      </c>
      <c r="G564" s="9" t="inlineStr">
        <is>
          <t>Gas</t>
        </is>
      </c>
      <c r="H564">
        <f>IFERROR(INDEX(Categories!$A$5:$A$93,MATCH(G564,Categories!$B$5:$B$93,0)),"")</f>
        <v/>
      </c>
      <c r="I564" s="9" t="inlineStr">
        <is>
          <t>D</t>
        </is>
      </c>
      <c r="J564" s="9" t="inlineStr"/>
    </row>
    <row r="565">
      <c r="A565" s="9" t="inlineStr">
        <is>
          <t>Checking ...0861</t>
        </is>
      </c>
      <c r="B565" s="29" t="n">
        <v>46195</v>
      </c>
      <c r="C565" s="9" t="inlineStr">
        <is>
          <t>SHELL OIL 10010249000 GILROY CA              06/21</t>
        </is>
      </c>
      <c r="D565" s="10" t="n">
        <v>-7.38</v>
      </c>
      <c r="E565" s="9" t="inlineStr">
        <is>
          <t>DEBIT_CARD</t>
        </is>
      </c>
      <c r="F565" s="10" t="n">
        <v>3687.25</v>
      </c>
      <c r="G565" s="9" t="inlineStr">
        <is>
          <t>Gas</t>
        </is>
      </c>
      <c r="H565">
        <f>IFERROR(INDEX(Categories!$A$5:$A$93,MATCH(G565,Categories!$B$5:$B$93,0)),"")</f>
        <v/>
      </c>
      <c r="I565" s="9" t="inlineStr">
        <is>
          <t>D</t>
        </is>
      </c>
      <c r="J565" s="9" t="inlineStr"/>
    </row>
    <row r="566">
      <c r="A566" s="9" t="inlineStr">
        <is>
          <t>Checking ...0861</t>
        </is>
      </c>
      <c r="B566" s="29" t="n">
        <v>46195</v>
      </c>
      <c r="C566" s="9" t="inlineStr">
        <is>
          <t>SP+AFF * WRXDAILY 855-423-3729 CA            06/21</t>
        </is>
      </c>
      <c r="D566" s="10" t="n">
        <v>-220.95</v>
      </c>
      <c r="E566" s="9" t="inlineStr">
        <is>
          <t>DEBIT_CARD</t>
        </is>
      </c>
      <c r="F566" s="10" t="n">
        <v>3694.63</v>
      </c>
      <c r="G566" s="9" t="inlineStr">
        <is>
          <t>Shop - Others</t>
        </is>
      </c>
      <c r="H566">
        <f>IFERROR(INDEX(Categories!$A$5:$A$93,MATCH(G566,Categories!$B$5:$B$93,0)),"")</f>
        <v/>
      </c>
      <c r="I566" s="9" t="inlineStr">
        <is>
          <t>R</t>
        </is>
      </c>
      <c r="J566" s="9" t="inlineStr">
        <is>
          <t>Small online-shop charge via an affiliate/Affirm-style processor - description doesn't name the actual store</t>
        </is>
      </c>
    </row>
    <row r="567">
      <c r="A567" s="9" t="inlineStr">
        <is>
          <t>Checking ...0861</t>
        </is>
      </c>
      <c r="B567" s="29" t="n">
        <v>46195</v>
      </c>
      <c r="C567" s="9" t="inlineStr">
        <is>
          <t>GIV*FIRST PRESBY 831-4227811 CA              06/21</t>
        </is>
      </c>
      <c r="D567" s="10" t="n">
        <v>-20</v>
      </c>
      <c r="E567" s="9" t="inlineStr">
        <is>
          <t>DEBIT_CARD</t>
        </is>
      </c>
      <c r="F567" s="10" t="n">
        <v>3915.58</v>
      </c>
      <c r="G567" s="9" t="inlineStr">
        <is>
          <t>Others</t>
        </is>
      </c>
      <c r="H567">
        <f>IFERROR(INDEX(Categories!$A$5:$A$93,MATCH(G567,Categories!$B$5:$B$93,0)),"")</f>
        <v/>
      </c>
      <c r="I567" s="9" t="inlineStr">
        <is>
          <t>H</t>
        </is>
      </c>
      <c r="J567" s="9" t="inlineStr">
        <is>
          <t>Recurring $20 church/charitable giving - no matching category in your list, put under Others</t>
        </is>
      </c>
    </row>
    <row r="568">
      <c r="A568" s="9" t="inlineStr">
        <is>
          <t>Checking ...0861</t>
        </is>
      </c>
      <c r="B568" s="29" t="n">
        <v>46195</v>
      </c>
      <c r="C568" s="9" t="inlineStr">
        <is>
          <t>WHATNOT WHATNOT.COM CA                       06/20</t>
        </is>
      </c>
      <c r="D568" s="10" t="n">
        <v>-27.19</v>
      </c>
      <c r="E568" s="9" t="inlineStr">
        <is>
          <t>DEBIT_CARD</t>
        </is>
      </c>
      <c r="F568" s="10" t="n">
        <v>3935.58</v>
      </c>
      <c r="G568" s="9" t="inlineStr">
        <is>
          <t>Shop - Whatnot</t>
        </is>
      </c>
      <c r="H568">
        <f>IFERROR(INDEX(Categories!$A$5:$A$93,MATCH(G568,Categories!$B$5:$B$93,0)),"")</f>
        <v/>
      </c>
      <c r="I568" s="9" t="inlineStr">
        <is>
          <t>H</t>
        </is>
      </c>
      <c r="J568" s="9" t="inlineStr"/>
    </row>
    <row r="569">
      <c r="A569" s="9" t="inlineStr">
        <is>
          <t>Checking ...0861</t>
        </is>
      </c>
      <c r="B569" s="29" t="n">
        <v>46195</v>
      </c>
      <c r="C569" s="9" t="inlineStr">
        <is>
          <t>WHATNOT WHATNOT.COM CA                       06/20</t>
        </is>
      </c>
      <c r="D569" s="10" t="n">
        <v>-39.07</v>
      </c>
      <c r="E569" s="9" t="inlineStr">
        <is>
          <t>DEBIT_CARD</t>
        </is>
      </c>
      <c r="F569" s="10" t="n">
        <v>3962.77</v>
      </c>
      <c r="G569" s="9" t="inlineStr">
        <is>
          <t>Shop - Whatnot</t>
        </is>
      </c>
      <c r="H569">
        <f>IFERROR(INDEX(Categories!$A$5:$A$93,MATCH(G569,Categories!$B$5:$B$93,0)),"")</f>
        <v/>
      </c>
      <c r="I569" s="9" t="inlineStr">
        <is>
          <t>H</t>
        </is>
      </c>
      <c r="J569" s="9" t="inlineStr"/>
    </row>
    <row r="570">
      <c r="A570" s="9" t="inlineStr">
        <is>
          <t>Checking ...0861</t>
        </is>
      </c>
      <c r="B570" s="29" t="n">
        <v>46195</v>
      </c>
      <c r="C570" s="9" t="inlineStr">
        <is>
          <t>WHATNOT WHATNOT.COM CA                       06/20</t>
        </is>
      </c>
      <c r="D570" s="10" t="n">
        <v>-34.07</v>
      </c>
      <c r="E570" s="9" t="inlineStr">
        <is>
          <t>DEBIT_CARD</t>
        </is>
      </c>
      <c r="F570" s="10" t="n">
        <v>4001.84</v>
      </c>
      <c r="G570" s="9" t="inlineStr">
        <is>
          <t>Shop - Whatnot</t>
        </is>
      </c>
      <c r="H570">
        <f>IFERROR(INDEX(Categories!$A$5:$A$93,MATCH(G570,Categories!$B$5:$B$93,0)),"")</f>
        <v/>
      </c>
      <c r="I570" s="9" t="inlineStr">
        <is>
          <t>H</t>
        </is>
      </c>
      <c r="J570" s="9" t="inlineStr"/>
    </row>
    <row r="571">
      <c r="A571" s="9" t="inlineStr">
        <is>
          <t>Checking ...0861</t>
        </is>
      </c>
      <c r="B571" s="29" t="n">
        <v>46195</v>
      </c>
      <c r="C571" s="9" t="inlineStr">
        <is>
          <t>WHATNOT WHATNOT.COM CA                       06/20</t>
        </is>
      </c>
      <c r="D571" s="10" t="n">
        <v>-42.81</v>
      </c>
      <c r="E571" s="9" t="inlineStr">
        <is>
          <t>DEBIT_CARD</t>
        </is>
      </c>
      <c r="F571" s="10" t="n">
        <v>4035.91</v>
      </c>
      <c r="G571" s="9" t="inlineStr">
        <is>
          <t>Shop - Whatnot</t>
        </is>
      </c>
      <c r="H571">
        <f>IFERROR(INDEX(Categories!$A$5:$A$93,MATCH(G571,Categories!$B$5:$B$93,0)),"")</f>
        <v/>
      </c>
      <c r="I571" s="9" t="inlineStr">
        <is>
          <t>H</t>
        </is>
      </c>
      <c r="J571" s="9" t="inlineStr"/>
    </row>
    <row r="572">
      <c r="A572" s="9" t="inlineStr">
        <is>
          <t>Checking ...0861</t>
        </is>
      </c>
      <c r="B572" s="29" t="n">
        <v>46195</v>
      </c>
      <c r="C572" s="9" t="inlineStr">
        <is>
          <t>WHATNOT WHATNOT.COM CA                       06/20</t>
        </is>
      </c>
      <c r="D572" s="10" t="n">
        <v>-109.23</v>
      </c>
      <c r="E572" s="9" t="inlineStr">
        <is>
          <t>DEBIT_CARD</t>
        </is>
      </c>
      <c r="F572" s="10" t="n">
        <v>4078.72</v>
      </c>
      <c r="G572" s="9" t="inlineStr">
        <is>
          <t>Shop - Whatnot</t>
        </is>
      </c>
      <c r="H572">
        <f>IFERROR(INDEX(Categories!$A$5:$A$93,MATCH(G572,Categories!$B$5:$B$93,0)),"")</f>
        <v/>
      </c>
      <c r="I572" s="9" t="inlineStr">
        <is>
          <t>H</t>
        </is>
      </c>
      <c r="J572" s="9" t="inlineStr"/>
    </row>
    <row r="573">
      <c r="A573" s="9" t="inlineStr">
        <is>
          <t>Checking ...0861</t>
        </is>
      </c>
      <c r="B573" s="29" t="n">
        <v>46195</v>
      </c>
      <c r="C573" s="9" t="inlineStr">
        <is>
          <t>WHATNOT WHATNOT.COM CA                       06/19</t>
        </is>
      </c>
      <c r="D573" s="10" t="n">
        <v>-162.55</v>
      </c>
      <c r="E573" s="9" t="inlineStr">
        <is>
          <t>DEBIT_CARD</t>
        </is>
      </c>
      <c r="F573" s="10" t="n">
        <v>4187.95</v>
      </c>
      <c r="G573" s="9" t="inlineStr">
        <is>
          <t>Shop - Whatnot</t>
        </is>
      </c>
      <c r="H573">
        <f>IFERROR(INDEX(Categories!$A$5:$A$93,MATCH(G573,Categories!$B$5:$B$93,0)),"")</f>
        <v/>
      </c>
      <c r="I573" s="9" t="inlineStr">
        <is>
          <t>H</t>
        </is>
      </c>
      <c r="J573" s="9" t="inlineStr"/>
    </row>
    <row r="574">
      <c r="A574" s="9" t="inlineStr">
        <is>
          <t>Checking ...0861</t>
        </is>
      </c>
      <c r="B574" s="29" t="n">
        <v>46195</v>
      </c>
      <c r="C574" s="9" t="inlineStr">
        <is>
          <t>CM9S 18845646428                             06/19</t>
        </is>
      </c>
      <c r="D574" s="10" t="n">
        <v>-79.98999999999999</v>
      </c>
      <c r="E574" s="9" t="inlineStr">
        <is>
          <t>DEBIT_CARD</t>
        </is>
      </c>
      <c r="F574" s="10" t="n">
        <v>4350.5</v>
      </c>
      <c r="G574" s="9" t="inlineStr">
        <is>
          <t>Shop - Others</t>
        </is>
      </c>
      <c r="H574">
        <f>IFERROR(INDEX(Categories!$A$5:$A$93,MATCH(G574,Categories!$B$5:$B$93,0)),"")</f>
        <v/>
      </c>
      <c r="I574" s="9" t="inlineStr">
        <is>
          <t>R</t>
        </is>
      </c>
      <c r="J574" s="9" t="inlineStr">
        <is>
          <t>Small online-shop charge via an affiliate/Affirm-style processor - description doesn't name the actual store</t>
        </is>
      </c>
    </row>
    <row r="575">
      <c r="A575" s="9" t="inlineStr">
        <is>
          <t>Checking ...0861</t>
        </is>
      </c>
      <c r="B575" s="29" t="n">
        <v>46195</v>
      </c>
      <c r="C575" s="9" t="inlineStr">
        <is>
          <t>Primo Water Corporatio Vista CA              06/18</t>
        </is>
      </c>
      <c r="D575" s="10" t="n">
        <v>-3.1</v>
      </c>
      <c r="E575" s="9" t="inlineStr">
        <is>
          <t>DEBIT_CARD</t>
        </is>
      </c>
      <c r="F575" s="10" t="n">
        <v>4430.49</v>
      </c>
      <c r="G575" s="9" t="inlineStr">
        <is>
          <t>Water</t>
        </is>
      </c>
      <c r="H575">
        <f>IFERROR(INDEX(Categories!$A$5:$A$93,MATCH(G575,Categories!$B$5:$B$93,0)),"")</f>
        <v/>
      </c>
      <c r="I575" s="9" t="inlineStr">
        <is>
          <t>H</t>
        </is>
      </c>
      <c r="J575" s="9" t="inlineStr"/>
    </row>
    <row r="576">
      <c r="A576" s="9" t="inlineStr">
        <is>
          <t>Checking ...0861</t>
        </is>
      </c>
      <c r="B576" s="29" t="n">
        <v>46195</v>
      </c>
      <c r="C576" s="9" t="inlineStr">
        <is>
          <t>Primo Water Corporatio Vista CA              06/18</t>
        </is>
      </c>
      <c r="D576" s="10" t="n">
        <v>-3.1</v>
      </c>
      <c r="E576" s="9" t="inlineStr">
        <is>
          <t>DEBIT_CARD</t>
        </is>
      </c>
      <c r="F576" s="10" t="n">
        <v>4433.59</v>
      </c>
      <c r="G576" s="9" t="inlineStr">
        <is>
          <t>Water</t>
        </is>
      </c>
      <c r="H576">
        <f>IFERROR(INDEX(Categories!$A$5:$A$93,MATCH(G576,Categories!$B$5:$B$93,0)),"")</f>
        <v/>
      </c>
      <c r="I576" s="9" t="inlineStr">
        <is>
          <t>H</t>
        </is>
      </c>
      <c r="J576" s="9" t="inlineStr"/>
    </row>
    <row r="577">
      <c r="A577" s="9" t="inlineStr">
        <is>
          <t>Checking ...0861</t>
        </is>
      </c>
      <c r="B577" s="29" t="n">
        <v>46195</v>
      </c>
      <c r="C577" s="9" t="inlineStr">
        <is>
          <t>Zelle payment from KYLA MARIE TUAZON PEREZ 29274370427</t>
        </is>
      </c>
      <c r="D577" s="10" t="n">
        <v>100</v>
      </c>
      <c r="E577" s="9" t="inlineStr">
        <is>
          <t>QUICKPAY_CREDIT</t>
        </is>
      </c>
      <c r="F577" s="10" t="n">
        <v>4436.69</v>
      </c>
      <c r="G577" s="9" t="inlineStr">
        <is>
          <t>Others - Income</t>
        </is>
      </c>
      <c r="H577">
        <f>IFERROR(INDEX(Categories!$A$5:$A$93,MATCH(G577,Categories!$B$5:$B$93,0)),"")</f>
        <v/>
      </c>
      <c r="I577" s="9" t="inlineStr">
        <is>
          <t>R</t>
        </is>
      </c>
      <c r="J577" s="9" t="inlineStr">
        <is>
          <t>Zelle received - please tell me who this person is so I can map them to a category</t>
        </is>
      </c>
    </row>
    <row r="578">
      <c r="A578" s="9" t="inlineStr">
        <is>
          <t>Checking ...0861</t>
        </is>
      </c>
      <c r="B578" s="29" t="n">
        <v>46195</v>
      </c>
      <c r="C578" s="9" t="inlineStr">
        <is>
          <t>PAYPAL           TRANSFER                   PPD ID: PAYPALSD11</t>
        </is>
      </c>
      <c r="D578" s="10" t="n">
        <v>1828</v>
      </c>
      <c r="E578" s="9" t="inlineStr">
        <is>
          <t>ACH_CREDIT</t>
        </is>
      </c>
      <c r="F578" s="10" t="n">
        <v>4336.69</v>
      </c>
      <c r="G578" s="9" t="inlineStr">
        <is>
          <t>Transfer - PayPal to Checking</t>
        </is>
      </c>
      <c r="H578">
        <f>IFERROR(INDEX(Categories!$A$5:$A$93,MATCH(G578,Categories!$B$5:$B$93,0)),"")</f>
        <v/>
      </c>
      <c r="I578" s="9" t="inlineStr">
        <is>
          <t>H</t>
        </is>
      </c>
      <c r="J578" s="9" t="inlineStr"/>
    </row>
    <row r="579">
      <c r="A579" s="9" t="inlineStr">
        <is>
          <t>Checking ...0861</t>
        </is>
      </c>
      <c r="B579" s="29" t="n">
        <v>46195</v>
      </c>
      <c r="C579" s="9" t="inlineStr">
        <is>
          <t>ODP TRANSFER FROM SAVINGS ...5953</t>
        </is>
      </c>
      <c r="D579" s="10" t="n">
        <v>2508.69</v>
      </c>
      <c r="E579" s="9" t="inlineStr">
        <is>
          <t>MISC_CREDIT</t>
        </is>
      </c>
      <c r="F579" s="10" t="n">
        <v>2508.69</v>
      </c>
      <c r="G579" s="9" t="inlineStr">
        <is>
          <t>Transfer - Savings to Checking</t>
        </is>
      </c>
      <c r="H579">
        <f>IFERROR(INDEX(Categories!$A$5:$A$93,MATCH(G579,Categories!$B$5:$B$93,0)),"")</f>
        <v/>
      </c>
      <c r="I579" s="9" t="inlineStr">
        <is>
          <t>H</t>
        </is>
      </c>
      <c r="J579" s="9" t="inlineStr">
        <is>
          <t>Overdraft-protection auto-pull from savings</t>
        </is>
      </c>
    </row>
    <row r="580">
      <c r="A580" s="9" t="inlineStr">
        <is>
          <t>Checking ...0861</t>
        </is>
      </c>
      <c r="B580" s="29" t="n">
        <v>46191</v>
      </c>
      <c r="C580" s="9" t="inlineStr">
        <is>
          <t>PAYPAL           PURCHASE   TIKTOK SHOP     WEB ID: PAYPALSI77</t>
        </is>
      </c>
      <c r="D580" s="10" t="n">
        <v>-24.46</v>
      </c>
      <c r="E580" s="9" t="inlineStr">
        <is>
          <t>ACH_DEBIT</t>
        </is>
      </c>
      <c r="F580" s="10" t="n">
        <v>0</v>
      </c>
      <c r="G580" s="9" t="inlineStr">
        <is>
          <t>paypal tiktok</t>
        </is>
      </c>
      <c r="H580">
        <f>IFERROR(INDEX(Categories!$A$5:$A$93,MATCH(G580,Categories!$B$5:$B$93,0)),"")</f>
        <v/>
      </c>
      <c r="I580" s="9" t="inlineStr">
        <is>
          <t>H</t>
        </is>
      </c>
      <c r="J580" s="9" t="inlineStr"/>
    </row>
    <row r="581">
      <c r="A581" s="9" t="inlineStr">
        <is>
          <t>Checking ...0861</t>
        </is>
      </c>
      <c r="B581" s="29" t="n">
        <v>46191</v>
      </c>
      <c r="C581" s="9" t="inlineStr">
        <is>
          <t>PAYPAL           PURCHASE   TIKTOK SHOP     WEB ID: PAYPALSI77</t>
        </is>
      </c>
      <c r="D581" s="10" t="n">
        <v>-96.84</v>
      </c>
      <c r="E581" s="9" t="inlineStr">
        <is>
          <t>ACH_DEBIT</t>
        </is>
      </c>
      <c r="F581" s="10" t="n">
        <v>24.46</v>
      </c>
      <c r="G581" s="9" t="inlineStr">
        <is>
          <t>paypal tiktok</t>
        </is>
      </c>
      <c r="H581">
        <f>IFERROR(INDEX(Categories!$A$5:$A$93,MATCH(G581,Categories!$B$5:$B$93,0)),"")</f>
        <v/>
      </c>
      <c r="I581" s="9" t="inlineStr">
        <is>
          <t>H</t>
        </is>
      </c>
      <c r="J581" s="9" t="inlineStr"/>
    </row>
    <row r="582">
      <c r="A582" s="9" t="inlineStr">
        <is>
          <t>Checking ...0861</t>
        </is>
      </c>
      <c r="B582" s="29" t="n">
        <v>46191</v>
      </c>
      <c r="C582" s="9" t="inlineStr">
        <is>
          <t>AMAZON MARKETPLA INTERNET   043000098970958 WEB ID: 9049016352</t>
        </is>
      </c>
      <c r="D582" s="10" t="n">
        <v>-15.26</v>
      </c>
      <c r="E582" s="9" t="inlineStr">
        <is>
          <t>ACH_DEBIT</t>
        </is>
      </c>
      <c r="F582" s="10" t="n">
        <v>121.3</v>
      </c>
      <c r="G582" s="9" t="inlineStr">
        <is>
          <t>Shop - Amazon</t>
        </is>
      </c>
      <c r="H582">
        <f>IFERROR(INDEX(Categories!$A$5:$A$93,MATCH(G582,Categories!$B$5:$B$93,0)),"")</f>
        <v/>
      </c>
      <c r="I582" s="9" t="inlineStr">
        <is>
          <t>H</t>
        </is>
      </c>
      <c r="J582" s="9" t="inlineStr"/>
    </row>
    <row r="583">
      <c r="A583" s="9" t="inlineStr">
        <is>
          <t>Checking ...0861</t>
        </is>
      </c>
      <c r="B583" s="29" t="n">
        <v>46191</v>
      </c>
      <c r="C583" s="9" t="inlineStr">
        <is>
          <t>AMAZON MARKETPLA INTERNET   043000098956722 WEB ID: 9049016352</t>
        </is>
      </c>
      <c r="D583" s="10" t="n">
        <v>-130.49</v>
      </c>
      <c r="E583" s="9" t="inlineStr">
        <is>
          <t>ACH_DEBIT</t>
        </is>
      </c>
      <c r="F583" s="10" t="n">
        <v>136.56</v>
      </c>
      <c r="G583" s="9" t="inlineStr">
        <is>
          <t>Shop - Amazon</t>
        </is>
      </c>
      <c r="H583">
        <f>IFERROR(INDEX(Categories!$A$5:$A$93,MATCH(G583,Categories!$B$5:$B$93,0)),"")</f>
        <v/>
      </c>
      <c r="I583" s="9" t="inlineStr">
        <is>
          <t>H</t>
        </is>
      </c>
      <c r="J583" s="9" t="inlineStr"/>
    </row>
    <row r="584">
      <c r="A584" s="9" t="inlineStr">
        <is>
          <t>Checking ...0861</t>
        </is>
      </c>
      <c r="B584" s="29" t="n">
        <v>46191</v>
      </c>
      <c r="C584" s="9" t="inlineStr">
        <is>
          <t>AFFIRM.COM PAYME AFFIRM.COM ST-H5E1R8Q0M9R9 WEB ID: 4270465600</t>
        </is>
      </c>
      <c r="D584" s="10" t="n">
        <v>-98.59</v>
      </c>
      <c r="E584" s="9" t="inlineStr">
        <is>
          <t>ACH_DEBIT</t>
        </is>
      </c>
      <c r="F584" s="10" t="n">
        <v>267.05</v>
      </c>
      <c r="G584" s="9" t="inlineStr">
        <is>
          <t>Affirm</t>
        </is>
      </c>
      <c r="H584">
        <f>IFERROR(INDEX(Categories!$A$5:$A$93,MATCH(G584,Categories!$B$5:$B$93,0)),"")</f>
        <v/>
      </c>
      <c r="I584" s="9" t="inlineStr">
        <is>
          <t>H</t>
        </is>
      </c>
      <c r="J584" s="9" t="inlineStr"/>
    </row>
    <row r="585">
      <c r="A585" s="9" t="inlineStr">
        <is>
          <t>Checking ...0861</t>
        </is>
      </c>
      <c r="B585" s="29" t="n">
        <v>46191</v>
      </c>
      <c r="C585" s="9" t="inlineStr">
        <is>
          <t>UBER TECHNOLOGIES, INC WILMINGTON DE         06/17</t>
        </is>
      </c>
      <c r="D585" s="10" t="n">
        <v>-15.26</v>
      </c>
      <c r="E585" s="9" t="inlineStr">
        <is>
          <t>DEBIT_CARD</t>
        </is>
      </c>
      <c r="F585" s="10" t="n">
        <v>365.64</v>
      </c>
      <c r="G585" s="9" t="inlineStr">
        <is>
          <t>Others</t>
        </is>
      </c>
      <c r="H585">
        <f>IFERROR(INDEX(Categories!$A$5:$A$93,MATCH(G585,Categories!$B$5:$B$93,0)),"")</f>
        <v/>
      </c>
      <c r="I585" s="9" t="inlineStr">
        <is>
          <t>R</t>
        </is>
      </c>
      <c r="J585" s="9" t="inlineStr">
        <is>
          <t>Rideshare or Venmo payment - no matching category, and Venmo recipient is unclear</t>
        </is>
      </c>
    </row>
    <row r="586">
      <c r="A586" s="9" t="inlineStr">
        <is>
          <t>Checking ...0861</t>
        </is>
      </c>
      <c r="B586" s="29" t="n">
        <v>46191</v>
      </c>
      <c r="C586" s="9" t="inlineStr">
        <is>
          <t>UBER TECHNOLOGIES, INC WILMINGTON DE         06/17</t>
        </is>
      </c>
      <c r="D586" s="10" t="n">
        <v>-13.55</v>
      </c>
      <c r="E586" s="9" t="inlineStr">
        <is>
          <t>DEBIT_CARD</t>
        </is>
      </c>
      <c r="F586" s="10" t="n">
        <v>380.9</v>
      </c>
      <c r="G586" s="9" t="inlineStr">
        <is>
          <t>Others</t>
        </is>
      </c>
      <c r="H586">
        <f>IFERROR(INDEX(Categories!$A$5:$A$93,MATCH(G586,Categories!$B$5:$B$93,0)),"")</f>
        <v/>
      </c>
      <c r="I586" s="9" t="inlineStr">
        <is>
          <t>R</t>
        </is>
      </c>
      <c r="J586" s="9" t="inlineStr">
        <is>
          <t>Rideshare or Venmo payment - no matching category, and Venmo recipient is unclear</t>
        </is>
      </c>
    </row>
    <row r="587">
      <c r="A587" s="9" t="inlineStr">
        <is>
          <t>Checking ...0861</t>
        </is>
      </c>
      <c r="B587" s="29" t="n">
        <v>46191</v>
      </c>
      <c r="C587" s="9" t="inlineStr">
        <is>
          <t>MCDONALD'S F2428 SALINAS CA                  06/17</t>
        </is>
      </c>
      <c r="D587" s="10" t="n">
        <v>-18.66</v>
      </c>
      <c r="E587" s="9" t="inlineStr">
        <is>
          <t>DEBIT_CARD</t>
        </is>
      </c>
      <c r="F587" s="10" t="n">
        <v>394.45</v>
      </c>
      <c r="G587" s="9" t="inlineStr">
        <is>
          <t>Food - Eat Out</t>
        </is>
      </c>
      <c r="H587">
        <f>IFERROR(INDEX(Categories!$A$5:$A$93,MATCH(G587,Categories!$B$5:$B$93,0)),"")</f>
        <v/>
      </c>
      <c r="I587" s="9" t="inlineStr">
        <is>
          <t>D</t>
        </is>
      </c>
      <c r="J587" s="9" t="inlineStr">
        <is>
          <t>Restaurant/fast-food - defaulted to Eat Out; move to Food - Ailynn/Chris/Misc if you know whose order it was</t>
        </is>
      </c>
    </row>
    <row r="588">
      <c r="A588" s="9" t="inlineStr">
        <is>
          <t>Checking ...0861</t>
        </is>
      </c>
      <c r="B588" s="29" t="n">
        <v>46191</v>
      </c>
      <c r="C588" s="9" t="inlineStr">
        <is>
          <t>WHATNOT WHATNOT.COM CA                       06/17</t>
        </is>
      </c>
      <c r="D588" s="10" t="n">
        <v>-21.07</v>
      </c>
      <c r="E588" s="9" t="inlineStr">
        <is>
          <t>DEBIT_CARD</t>
        </is>
      </c>
      <c r="F588" s="10" t="n">
        <v>413.11</v>
      </c>
      <c r="G588" s="9" t="inlineStr">
        <is>
          <t>Shop - Whatnot</t>
        </is>
      </c>
      <c r="H588">
        <f>IFERROR(INDEX(Categories!$A$5:$A$93,MATCH(G588,Categories!$B$5:$B$93,0)),"")</f>
        <v/>
      </c>
      <c r="I588" s="9" t="inlineStr">
        <is>
          <t>H</t>
        </is>
      </c>
      <c r="J588" s="9" t="inlineStr"/>
    </row>
    <row r="589">
      <c r="A589" s="9" t="inlineStr">
        <is>
          <t>Checking ...0861</t>
        </is>
      </c>
      <c r="B589" s="29" t="n">
        <v>46191</v>
      </c>
      <c r="C589" s="9" t="inlineStr">
        <is>
          <t>WHATNOT WHATNOT.COM CA                       06/17</t>
        </is>
      </c>
      <c r="D589" s="10" t="n">
        <v>-24.32</v>
      </c>
      <c r="E589" s="9" t="inlineStr">
        <is>
          <t>DEBIT_CARD</t>
        </is>
      </c>
      <c r="F589" s="10" t="n">
        <v>434.18</v>
      </c>
      <c r="G589" s="9" t="inlineStr">
        <is>
          <t>Shop - Whatnot</t>
        </is>
      </c>
      <c r="H589">
        <f>IFERROR(INDEX(Categories!$A$5:$A$93,MATCH(G589,Categories!$B$5:$B$93,0)),"")</f>
        <v/>
      </c>
      <c r="I589" s="9" t="inlineStr">
        <is>
          <t>H</t>
        </is>
      </c>
      <c r="J589" s="9" t="inlineStr"/>
    </row>
    <row r="590">
      <c r="A590" s="9" t="inlineStr">
        <is>
          <t>Checking ...0861</t>
        </is>
      </c>
      <c r="B590" s="29" t="n">
        <v>46191</v>
      </c>
      <c r="C590" s="9" t="inlineStr">
        <is>
          <t>WHATNOT WHATNOT.COM CA                       06/17</t>
        </is>
      </c>
      <c r="D590" s="10" t="n">
        <v>-52.8</v>
      </c>
      <c r="E590" s="9" t="inlineStr">
        <is>
          <t>DEBIT_CARD</t>
        </is>
      </c>
      <c r="F590" s="10" t="n">
        <v>458.5</v>
      </c>
      <c r="G590" s="9" t="inlineStr">
        <is>
          <t>Shop - Whatnot</t>
        </is>
      </c>
      <c r="H590">
        <f>IFERROR(INDEX(Categories!$A$5:$A$93,MATCH(G590,Categories!$B$5:$B$93,0)),"")</f>
        <v/>
      </c>
      <c r="I590" s="9" t="inlineStr">
        <is>
          <t>H</t>
        </is>
      </c>
      <c r="J590" s="9" t="inlineStr"/>
    </row>
    <row r="591">
      <c r="A591" s="9" t="inlineStr">
        <is>
          <t>Checking ...0861</t>
        </is>
      </c>
      <c r="B591" s="29" t="n">
        <v>46191</v>
      </c>
      <c r="C591" s="9" t="inlineStr">
        <is>
          <t>ODP TRANSFER FROM SAVINGS ...5953</t>
        </is>
      </c>
      <c r="D591" s="10" t="n">
        <v>511.3</v>
      </c>
      <c r="E591" s="9" t="inlineStr">
        <is>
          <t>MISC_CREDIT</t>
        </is>
      </c>
      <c r="F591" s="10" t="n">
        <v>511.3</v>
      </c>
      <c r="G591" s="9" t="inlineStr">
        <is>
          <t>Transfer - Savings to Checking</t>
        </is>
      </c>
      <c r="H591">
        <f>IFERROR(INDEX(Categories!$A$5:$A$93,MATCH(G591,Categories!$B$5:$B$93,0)),"")</f>
        <v/>
      </c>
      <c r="I591" s="9" t="inlineStr">
        <is>
          <t>H</t>
        </is>
      </c>
      <c r="J591" s="9" t="inlineStr">
        <is>
          <t>Overdraft-protection auto-pull from savings</t>
        </is>
      </c>
    </row>
    <row r="592">
      <c r="A592" s="9" t="inlineStr">
        <is>
          <t>Checking ...0861</t>
        </is>
      </c>
      <c r="B592" s="29" t="n">
        <v>46190</v>
      </c>
      <c r="C592" s="9" t="inlineStr">
        <is>
          <t>WHATNOT WHATNOT.COM CA                       06/17</t>
        </is>
      </c>
      <c r="D592" s="10" t="n">
        <v>-16.78</v>
      </c>
      <c r="E592" s="9" t="inlineStr">
        <is>
          <t>DEBIT_CARD</t>
        </is>
      </c>
      <c r="F592" s="10" t="n">
        <v>0</v>
      </c>
      <c r="G592" s="9" t="inlineStr">
        <is>
          <t>Shop - Whatnot</t>
        </is>
      </c>
      <c r="H592">
        <f>IFERROR(INDEX(Categories!$A$5:$A$93,MATCH(G592,Categories!$B$5:$B$93,0)),"")</f>
        <v/>
      </c>
      <c r="I592" s="9" t="inlineStr">
        <is>
          <t>H</t>
        </is>
      </c>
      <c r="J592" s="9" t="inlineStr"/>
    </row>
    <row r="593">
      <c r="A593" s="9" t="inlineStr">
        <is>
          <t>Checking ...0861</t>
        </is>
      </c>
      <c r="B593" s="29" t="n">
        <v>46190</v>
      </c>
      <c r="C593" s="9" t="inlineStr">
        <is>
          <t>WHATNOT WHATNOT.COM CA                       06/17</t>
        </is>
      </c>
      <c r="D593" s="10" t="n">
        <v>-14.88</v>
      </c>
      <c r="E593" s="9" t="inlineStr">
        <is>
          <t>DEBIT_CARD</t>
        </is>
      </c>
      <c r="F593" s="10" t="n">
        <v>16.78</v>
      </c>
      <c r="G593" s="9" t="inlineStr">
        <is>
          <t>Shop - Whatnot</t>
        </is>
      </c>
      <c r="H593">
        <f>IFERROR(INDEX(Categories!$A$5:$A$93,MATCH(G593,Categories!$B$5:$B$93,0)),"")</f>
        <v/>
      </c>
      <c r="I593" s="9" t="inlineStr">
        <is>
          <t>H</t>
        </is>
      </c>
      <c r="J593" s="9" t="inlineStr"/>
    </row>
    <row r="594">
      <c r="A594" s="9" t="inlineStr">
        <is>
          <t>Checking ...0861</t>
        </is>
      </c>
      <c r="B594" s="29" t="n">
        <v>46190</v>
      </c>
      <c r="C594" s="9" t="inlineStr">
        <is>
          <t>AMAZON MARKETPLA INTERNET   043000097633426 WEB ID: 9049016352</t>
        </is>
      </c>
      <c r="D594" s="10" t="n">
        <v>-68.5</v>
      </c>
      <c r="E594" s="9" t="inlineStr">
        <is>
          <t>ACH_DEBIT</t>
        </is>
      </c>
      <c r="F594" s="10" t="n">
        <v>31.66</v>
      </c>
      <c r="G594" s="9" t="inlineStr">
        <is>
          <t>Shop - Amazon</t>
        </is>
      </c>
      <c r="H594">
        <f>IFERROR(INDEX(Categories!$A$5:$A$93,MATCH(G594,Categories!$B$5:$B$93,0)),"")</f>
        <v/>
      </c>
      <c r="I594" s="9" t="inlineStr">
        <is>
          <t>H</t>
        </is>
      </c>
      <c r="J594" s="9" t="inlineStr"/>
    </row>
    <row r="595">
      <c r="A595" s="9" t="inlineStr">
        <is>
          <t>Checking ...0861</t>
        </is>
      </c>
      <c r="B595" s="29" t="n">
        <v>46190</v>
      </c>
      <c r="C595" s="9" t="inlineStr">
        <is>
          <t>PLANET FITNESS S IClub Fees                 PPD ID: G710602737</t>
        </is>
      </c>
      <c r="D595" s="10" t="n">
        <v>-24.99</v>
      </c>
      <c r="E595" s="9" t="inlineStr">
        <is>
          <t>ACH_DEBIT</t>
        </is>
      </c>
      <c r="F595" s="10" t="n">
        <v>100.16</v>
      </c>
      <c r="G595" s="9" t="inlineStr">
        <is>
          <t>Planet Fitness</t>
        </is>
      </c>
      <c r="H595">
        <f>IFERROR(INDEX(Categories!$A$5:$A$93,MATCH(G595,Categories!$B$5:$B$93,0)),"")</f>
        <v/>
      </c>
      <c r="I595" s="9" t="inlineStr">
        <is>
          <t>H</t>
        </is>
      </c>
      <c r="J595" s="9" t="inlineStr"/>
    </row>
    <row r="596">
      <c r="A596" s="9" t="inlineStr">
        <is>
          <t>Checking ...0861</t>
        </is>
      </c>
      <c r="B596" s="29" t="n">
        <v>46190</v>
      </c>
      <c r="C596" s="9" t="inlineStr">
        <is>
          <t>ODP TRANSFER FROM SAVINGS ...5953</t>
        </is>
      </c>
      <c r="D596" s="10" t="n">
        <v>125.15</v>
      </c>
      <c r="E596" s="9" t="inlineStr">
        <is>
          <t>MISC_CREDIT</t>
        </is>
      </c>
      <c r="F596" s="10" t="n">
        <v>125.15</v>
      </c>
      <c r="G596" s="9" t="inlineStr">
        <is>
          <t>Transfer - Savings to Checking</t>
        </is>
      </c>
      <c r="H596">
        <f>IFERROR(INDEX(Categories!$A$5:$A$93,MATCH(G596,Categories!$B$5:$B$93,0)),"")</f>
        <v/>
      </c>
      <c r="I596" s="9" t="inlineStr">
        <is>
          <t>H</t>
        </is>
      </c>
      <c r="J596" s="9" t="inlineStr">
        <is>
          <t>Overdraft-protection auto-pull from savings</t>
        </is>
      </c>
    </row>
    <row r="597">
      <c r="A597" s="9" t="inlineStr">
        <is>
          <t>Checking ...0861</t>
        </is>
      </c>
      <c r="B597" s="29" t="n">
        <v>46189</v>
      </c>
      <c r="C597" s="9" t="inlineStr">
        <is>
          <t>Chua Tinsay  Vega AP San Francisco CA        06/16</t>
        </is>
      </c>
      <c r="D597" s="10" t="n">
        <v>-200</v>
      </c>
      <c r="E597" s="9" t="inlineStr">
        <is>
          <t>DEBIT_CARD</t>
        </is>
      </c>
      <c r="F597" s="10" t="n">
        <v>0</v>
      </c>
      <c r="G597" s="9" t="inlineStr">
        <is>
          <t>Atty Chua</t>
        </is>
      </c>
      <c r="H597">
        <f>IFERROR(INDEX(Categories!$A$5:$A$93,MATCH(G597,Categories!$B$5:$B$93,0)),"")</f>
        <v/>
      </c>
      <c r="I597" s="9" t="inlineStr">
        <is>
          <t>H</t>
        </is>
      </c>
      <c r="J597" s="9" t="inlineStr"/>
    </row>
    <row r="598">
      <c r="A598" s="9" t="inlineStr">
        <is>
          <t>Checking ...0861</t>
        </is>
      </c>
      <c r="B598" s="29" t="n">
        <v>46189</v>
      </c>
      <c r="C598" s="9" t="inlineStr">
        <is>
          <t>FLUXIONKQ4W 13250804154                      06/14</t>
        </is>
      </c>
      <c r="D598" s="10" t="n">
        <v>-87.34999999999999</v>
      </c>
      <c r="E598" s="9" t="inlineStr">
        <is>
          <t>DEBIT_CARD</t>
        </is>
      </c>
      <c r="F598" s="10" t="n">
        <v>200</v>
      </c>
      <c r="G598" s="9" t="inlineStr">
        <is>
          <t>Shop - Others</t>
        </is>
      </c>
      <c r="H598">
        <f>IFERROR(INDEX(Categories!$A$5:$A$93,MATCH(G598,Categories!$B$5:$B$93,0)),"")</f>
        <v/>
      </c>
      <c r="I598" s="9" t="inlineStr">
        <is>
          <t>R</t>
        </is>
      </c>
      <c r="J598" s="9" t="inlineStr">
        <is>
          <t>Small online-shop charge via an affiliate/Affirm-style processor - description doesn't name the actual store</t>
        </is>
      </c>
    </row>
    <row r="599">
      <c r="A599" s="9" t="inlineStr">
        <is>
          <t>Checking ...0861</t>
        </is>
      </c>
      <c r="B599" s="29" t="n">
        <v>46189</v>
      </c>
      <c r="C599" s="9" t="inlineStr">
        <is>
          <t>ODP TRANSFER FROM SAVINGS ...5953</t>
        </is>
      </c>
      <c r="D599" s="10" t="n">
        <v>287.35</v>
      </c>
      <c r="E599" s="9" t="inlineStr">
        <is>
          <t>MISC_CREDIT</t>
        </is>
      </c>
      <c r="F599" s="10" t="n">
        <v>287.35</v>
      </c>
      <c r="G599" s="9" t="inlineStr">
        <is>
          <t>Transfer - Savings to Checking</t>
        </is>
      </c>
      <c r="H599">
        <f>IFERROR(INDEX(Categories!$A$5:$A$93,MATCH(G599,Categories!$B$5:$B$93,0)),"")</f>
        <v/>
      </c>
      <c r="I599" s="9" t="inlineStr">
        <is>
          <t>H</t>
        </is>
      </c>
      <c r="J599" s="9" t="inlineStr">
        <is>
          <t>Overdraft-protection auto-pull from savings</t>
        </is>
      </c>
    </row>
    <row r="600">
      <c r="A600" s="9" t="inlineStr">
        <is>
          <t>Checking ...0861</t>
        </is>
      </c>
      <c r="B600" s="29" t="n">
        <v>46188</v>
      </c>
      <c r="C600" s="9" t="inlineStr">
        <is>
          <t>AFFIRM * PAY 8EJ6EACD 855-423-3729 CA        06/15</t>
        </is>
      </c>
      <c r="D600" s="10" t="n">
        <v>-33.06</v>
      </c>
      <c r="E600" s="9" t="inlineStr">
        <is>
          <t>DEBIT_CARD</t>
        </is>
      </c>
      <c r="F600" s="10" t="n">
        <v>0</v>
      </c>
      <c r="G600" s="9" t="inlineStr">
        <is>
          <t>Affirm</t>
        </is>
      </c>
      <c r="H600">
        <f>IFERROR(INDEX(Categories!$A$5:$A$93,MATCH(G600,Categories!$B$5:$B$93,0)),"")</f>
        <v/>
      </c>
      <c r="I600" s="9" t="inlineStr">
        <is>
          <t>H</t>
        </is>
      </c>
      <c r="J600" s="9" t="inlineStr"/>
    </row>
    <row r="601">
      <c r="A601" s="9" t="inlineStr">
        <is>
          <t>Checking ...0861</t>
        </is>
      </c>
      <c r="B601" s="29" t="n">
        <v>46188</v>
      </c>
      <c r="C601" s="9" t="inlineStr">
        <is>
          <t>SP+AFF * JDMuscle - 1 855-423-3729 CA        06/15</t>
        </is>
      </c>
      <c r="D601" s="10" t="n">
        <v>-30.14</v>
      </c>
      <c r="E601" s="9" t="inlineStr">
        <is>
          <t>DEBIT_CARD</t>
        </is>
      </c>
      <c r="F601" s="10" t="n">
        <v>33.06</v>
      </c>
      <c r="G601" s="9" t="inlineStr">
        <is>
          <t>Shop - Others</t>
        </is>
      </c>
      <c r="H601">
        <f>IFERROR(INDEX(Categories!$A$5:$A$93,MATCH(G601,Categories!$B$5:$B$93,0)),"")</f>
        <v/>
      </c>
      <c r="I601" s="9" t="inlineStr">
        <is>
          <t>R</t>
        </is>
      </c>
      <c r="J601" s="9" t="inlineStr">
        <is>
          <t>Small online-shop charge via an affiliate/Affirm-style processor - description doesn't name the actual store</t>
        </is>
      </c>
    </row>
    <row r="602">
      <c r="A602" s="9" t="inlineStr">
        <is>
          <t>Checking ...0861</t>
        </is>
      </c>
      <c r="B602" s="29" t="n">
        <v>46188</v>
      </c>
      <c r="C602" s="9" t="inlineStr">
        <is>
          <t>AMAZON MARKETPLA INTERNET   043000095603420 WEB ID: 9049016352</t>
        </is>
      </c>
      <c r="D602" s="10" t="n">
        <v>-32.61</v>
      </c>
      <c r="E602" s="9" t="inlineStr">
        <is>
          <t>ACH_DEBIT</t>
        </is>
      </c>
      <c r="F602" s="10" t="n">
        <v>63.2</v>
      </c>
      <c r="G602" s="9" t="inlineStr">
        <is>
          <t>Shop - Amazon</t>
        </is>
      </c>
      <c r="H602">
        <f>IFERROR(INDEX(Categories!$A$5:$A$93,MATCH(G602,Categories!$B$5:$B$93,0)),"")</f>
        <v/>
      </c>
      <c r="I602" s="9" t="inlineStr">
        <is>
          <t>H</t>
        </is>
      </c>
      <c r="J602" s="9" t="inlineStr"/>
    </row>
    <row r="603">
      <c r="A603" s="9" t="inlineStr">
        <is>
          <t>Checking ...0861</t>
        </is>
      </c>
      <c r="B603" s="29" t="n">
        <v>46188</v>
      </c>
      <c r="C603" s="9" t="inlineStr">
        <is>
          <t>PAYPAL           PURCHASE   TIKTOK SHOP     WEB ID: PAYPALSI77</t>
        </is>
      </c>
      <c r="D603" s="10" t="n">
        <v>-95.15000000000001</v>
      </c>
      <c r="E603" s="9" t="inlineStr">
        <is>
          <t>ACH_DEBIT</t>
        </is>
      </c>
      <c r="F603" s="10" t="n">
        <v>95.81</v>
      </c>
      <c r="G603" s="9" t="inlineStr">
        <is>
          <t>paypal tiktok</t>
        </is>
      </c>
      <c r="H603">
        <f>IFERROR(INDEX(Categories!$A$5:$A$93,MATCH(G603,Categories!$B$5:$B$93,0)),"")</f>
        <v/>
      </c>
      <c r="I603" s="9" t="inlineStr">
        <is>
          <t>H</t>
        </is>
      </c>
      <c r="J603" s="9" t="inlineStr"/>
    </row>
    <row r="604">
      <c r="A604" s="9" t="inlineStr">
        <is>
          <t>Checking ...0861</t>
        </is>
      </c>
      <c r="B604" s="29" t="n">
        <v>46188</v>
      </c>
      <c r="C604" s="9" t="inlineStr">
        <is>
          <t>SNACK* QUICKLY BOBA C 186-68682146 CA        06/14</t>
        </is>
      </c>
      <c r="D604" s="10" t="n">
        <v>-13.61</v>
      </c>
      <c r="E604" s="9" t="inlineStr">
        <is>
          <t>DEBIT_CARD</t>
        </is>
      </c>
      <c r="F604" s="10" t="n">
        <v>190.96</v>
      </c>
      <c r="G604" s="9" t="inlineStr">
        <is>
          <t>Food - Eat Out</t>
        </is>
      </c>
      <c r="H604">
        <f>IFERROR(INDEX(Categories!$A$5:$A$93,MATCH(G604,Categories!$B$5:$B$93,0)),"")</f>
        <v/>
      </c>
      <c r="I604" s="9" t="inlineStr">
        <is>
          <t>D</t>
        </is>
      </c>
      <c r="J604" s="9" t="inlineStr">
        <is>
          <t>Restaurant/fast-food - defaulted to Eat Out; move to Food - Ailynn/Chris/Misc if you know whose order it was</t>
        </is>
      </c>
    </row>
    <row r="605">
      <c r="A605" s="9" t="inlineStr">
        <is>
          <t>Checking ...0861</t>
        </is>
      </c>
      <c r="B605" s="29" t="n">
        <v>46188</v>
      </c>
      <c r="C605" s="9" t="inlineStr">
        <is>
          <t>GIV*FIRST PRESBY 831-4227811 CA              06/14</t>
        </is>
      </c>
      <c r="D605" s="10" t="n">
        <v>-20</v>
      </c>
      <c r="E605" s="9" t="inlineStr">
        <is>
          <t>DEBIT_CARD</t>
        </is>
      </c>
      <c r="F605" s="10" t="n">
        <v>204.57</v>
      </c>
      <c r="G605" s="9" t="inlineStr">
        <is>
          <t>Others</t>
        </is>
      </c>
      <c r="H605">
        <f>IFERROR(INDEX(Categories!$A$5:$A$93,MATCH(G605,Categories!$B$5:$B$93,0)),"")</f>
        <v/>
      </c>
      <c r="I605" s="9" t="inlineStr">
        <is>
          <t>H</t>
        </is>
      </c>
      <c r="J605" s="9" t="inlineStr">
        <is>
          <t>Recurring $20 church/charitable giving - no matching category in your list, put under Others</t>
        </is>
      </c>
    </row>
    <row r="606">
      <c r="A606" s="9" t="inlineStr">
        <is>
          <t>Checking ...0861</t>
        </is>
      </c>
      <c r="B606" s="29" t="n">
        <v>46188</v>
      </c>
      <c r="C606" s="9" t="inlineStr">
        <is>
          <t>WHATNOT WHATNOT.COM CA                       06/13</t>
        </is>
      </c>
      <c r="D606" s="10" t="n">
        <v>-22.84</v>
      </c>
      <c r="E606" s="9" t="inlineStr">
        <is>
          <t>DEBIT_CARD</t>
        </is>
      </c>
      <c r="F606" s="10" t="n">
        <v>224.57</v>
      </c>
      <c r="G606" s="9" t="inlineStr">
        <is>
          <t>Shop - Whatnot</t>
        </is>
      </c>
      <c r="H606">
        <f>IFERROR(INDEX(Categories!$A$5:$A$93,MATCH(G606,Categories!$B$5:$B$93,0)),"")</f>
        <v/>
      </c>
      <c r="I606" s="9" t="inlineStr">
        <is>
          <t>H</t>
        </is>
      </c>
      <c r="J606" s="9" t="inlineStr"/>
    </row>
    <row r="607">
      <c r="A607" s="9" t="inlineStr">
        <is>
          <t>Checking ...0861</t>
        </is>
      </c>
      <c r="B607" s="29" t="n">
        <v>46188</v>
      </c>
      <c r="C607" s="9" t="inlineStr">
        <is>
          <t>WHATNOT WHATNOT.COM CA                       06/13</t>
        </is>
      </c>
      <c r="D607" s="10" t="n">
        <v>-14.14</v>
      </c>
      <c r="E607" s="9" t="inlineStr">
        <is>
          <t>DEBIT_CARD</t>
        </is>
      </c>
      <c r="F607" s="10" t="n">
        <v>247.41</v>
      </c>
      <c r="G607" s="9" t="inlineStr">
        <is>
          <t>Shop - Whatnot</t>
        </is>
      </c>
      <c r="H607">
        <f>IFERROR(INDEX(Categories!$A$5:$A$93,MATCH(G607,Categories!$B$5:$B$93,0)),"")</f>
        <v/>
      </c>
      <c r="I607" s="9" t="inlineStr">
        <is>
          <t>H</t>
        </is>
      </c>
      <c r="J607" s="9" t="inlineStr"/>
    </row>
    <row r="608">
      <c r="A608" s="9" t="inlineStr">
        <is>
          <t>Checking ...0861</t>
        </is>
      </c>
      <c r="B608" s="29" t="n">
        <v>46188</v>
      </c>
      <c r="C608" s="9" t="inlineStr">
        <is>
          <t>WHATNOT WHATNOT.COM CA                       06/13</t>
        </is>
      </c>
      <c r="D608" s="10" t="n">
        <v>-25.53</v>
      </c>
      <c r="E608" s="9" t="inlineStr">
        <is>
          <t>DEBIT_CARD</t>
        </is>
      </c>
      <c r="F608" s="10" t="n">
        <v>261.55</v>
      </c>
      <c r="G608" s="9" t="inlineStr">
        <is>
          <t>Shop - Whatnot</t>
        </is>
      </c>
      <c r="H608">
        <f>IFERROR(INDEX(Categories!$A$5:$A$93,MATCH(G608,Categories!$B$5:$B$93,0)),"")</f>
        <v/>
      </c>
      <c r="I608" s="9" t="inlineStr">
        <is>
          <t>H</t>
        </is>
      </c>
      <c r="J608" s="9" t="inlineStr"/>
    </row>
    <row r="609">
      <c r="A609" s="9" t="inlineStr">
        <is>
          <t>Checking ...0861</t>
        </is>
      </c>
      <c r="B609" s="29" t="n">
        <v>46188</v>
      </c>
      <c r="C609" s="9" t="inlineStr">
        <is>
          <t>WHATNOT WHATNOT.COM CA                       06/12</t>
        </is>
      </c>
      <c r="D609" s="10" t="n">
        <v>-33.72</v>
      </c>
      <c r="E609" s="9" t="inlineStr">
        <is>
          <t>DEBIT_CARD</t>
        </is>
      </c>
      <c r="F609" s="10" t="n">
        <v>287.08</v>
      </c>
      <c r="G609" s="9" t="inlineStr">
        <is>
          <t>Shop - Whatnot</t>
        </is>
      </c>
      <c r="H609">
        <f>IFERROR(INDEX(Categories!$A$5:$A$93,MATCH(G609,Categories!$B$5:$B$93,0)),"")</f>
        <v/>
      </c>
      <c r="I609" s="9" t="inlineStr">
        <is>
          <t>H</t>
        </is>
      </c>
      <c r="J609" s="9" t="inlineStr"/>
    </row>
    <row r="610">
      <c r="A610" s="9" t="inlineStr">
        <is>
          <t>Checking ...0861</t>
        </is>
      </c>
      <c r="B610" s="29" t="n">
        <v>46188</v>
      </c>
      <c r="C610" s="9" t="inlineStr">
        <is>
          <t>WHATNOT WHATNOT.COM CA                       06/12</t>
        </is>
      </c>
      <c r="D610" s="10" t="n">
        <v>-18.49</v>
      </c>
      <c r="E610" s="9" t="inlineStr">
        <is>
          <t>DEBIT_CARD</t>
        </is>
      </c>
      <c r="F610" s="10" t="n">
        <v>320.8</v>
      </c>
      <c r="G610" s="9" t="inlineStr">
        <is>
          <t>Shop - Whatnot</t>
        </is>
      </c>
      <c r="H610">
        <f>IFERROR(INDEX(Categories!$A$5:$A$93,MATCH(G610,Categories!$B$5:$B$93,0)),"")</f>
        <v/>
      </c>
      <c r="I610" s="9" t="inlineStr">
        <is>
          <t>H</t>
        </is>
      </c>
      <c r="J610" s="9" t="inlineStr"/>
    </row>
    <row r="611">
      <c r="A611" s="9" t="inlineStr">
        <is>
          <t>Checking ...0861</t>
        </is>
      </c>
      <c r="B611" s="29" t="n">
        <v>46188</v>
      </c>
      <c r="C611" s="9" t="inlineStr">
        <is>
          <t>WHATNOT WHATNOT.COM CA                       06/12</t>
        </is>
      </c>
      <c r="D611" s="10" t="n">
        <v>-26.1</v>
      </c>
      <c r="E611" s="9" t="inlineStr">
        <is>
          <t>DEBIT_CARD</t>
        </is>
      </c>
      <c r="F611" s="10" t="n">
        <v>339.29</v>
      </c>
      <c r="G611" s="9" t="inlineStr">
        <is>
          <t>Shop - Whatnot</t>
        </is>
      </c>
      <c r="H611">
        <f>IFERROR(INDEX(Categories!$A$5:$A$93,MATCH(G611,Categories!$B$5:$B$93,0)),"")</f>
        <v/>
      </c>
      <c r="I611" s="9" t="inlineStr">
        <is>
          <t>H</t>
        </is>
      </c>
      <c r="J611" s="9" t="inlineStr"/>
    </row>
    <row r="612">
      <c r="A612" s="9" t="inlineStr">
        <is>
          <t>Checking ...0861</t>
        </is>
      </c>
      <c r="B612" s="29" t="n">
        <v>46188</v>
      </c>
      <c r="C612" s="9" t="inlineStr">
        <is>
          <t>WHATNOT WHATNOT.COM CA                       06/12</t>
        </is>
      </c>
      <c r="D612" s="10" t="n">
        <v>-16.32</v>
      </c>
      <c r="E612" s="9" t="inlineStr">
        <is>
          <t>DEBIT_CARD</t>
        </is>
      </c>
      <c r="F612" s="10" t="n">
        <v>365.39</v>
      </c>
      <c r="G612" s="9" t="inlineStr">
        <is>
          <t>Shop - Whatnot</t>
        </is>
      </c>
      <c r="H612">
        <f>IFERROR(INDEX(Categories!$A$5:$A$93,MATCH(G612,Categories!$B$5:$B$93,0)),"")</f>
        <v/>
      </c>
      <c r="I612" s="9" t="inlineStr">
        <is>
          <t>H</t>
        </is>
      </c>
      <c r="J612" s="9" t="inlineStr"/>
    </row>
    <row r="613">
      <c r="A613" s="9" t="inlineStr">
        <is>
          <t>Checking ...0861</t>
        </is>
      </c>
      <c r="B613" s="29" t="n">
        <v>46188</v>
      </c>
      <c r="C613" s="9" t="inlineStr">
        <is>
          <t>WHATNOT WHATNOT.COM CA                       06/12</t>
        </is>
      </c>
      <c r="D613" s="10" t="n">
        <v>-23.35</v>
      </c>
      <c r="E613" s="9" t="inlineStr">
        <is>
          <t>DEBIT_CARD</t>
        </is>
      </c>
      <c r="F613" s="10" t="n">
        <v>381.71</v>
      </c>
      <c r="G613" s="9" t="inlineStr">
        <is>
          <t>Shop - Whatnot</t>
        </is>
      </c>
      <c r="H613">
        <f>IFERROR(INDEX(Categories!$A$5:$A$93,MATCH(G613,Categories!$B$5:$B$93,0)),"")</f>
        <v/>
      </c>
      <c r="I613" s="9" t="inlineStr">
        <is>
          <t>H</t>
        </is>
      </c>
      <c r="J613" s="9" t="inlineStr"/>
    </row>
    <row r="614">
      <c r="A614" s="9" t="inlineStr">
        <is>
          <t>Checking ...0861</t>
        </is>
      </c>
      <c r="B614" s="29" t="n">
        <v>46188</v>
      </c>
      <c r="C614" s="9" t="inlineStr">
        <is>
          <t>PAYPAL *PYPL PAYIN4 402-935-7733 CA          06/12</t>
        </is>
      </c>
      <c r="D614" s="10" t="n">
        <v>-71.62</v>
      </c>
      <c r="E614" s="9" t="inlineStr">
        <is>
          <t>DEBIT_CARD</t>
        </is>
      </c>
      <c r="F614" s="10" t="n">
        <v>405.06</v>
      </c>
      <c r="G614" s="9" t="inlineStr">
        <is>
          <t>Paypal pay in 4</t>
        </is>
      </c>
      <c r="H614">
        <f>IFERROR(INDEX(Categories!$A$5:$A$93,MATCH(G614,Categories!$B$5:$B$93,0)),"")</f>
        <v/>
      </c>
      <c r="I614" s="9" t="inlineStr">
        <is>
          <t>H</t>
        </is>
      </c>
      <c r="J614" s="9" t="inlineStr"/>
    </row>
    <row r="615">
      <c r="A615" s="9" t="inlineStr">
        <is>
          <t>Checking ...0861</t>
        </is>
      </c>
      <c r="B615" s="29" t="n">
        <v>46188</v>
      </c>
      <c r="C615" s="9" t="inlineStr">
        <is>
          <t>ODP TRANSFER FROM SAVINGS ...5953</t>
        </is>
      </c>
      <c r="D615" s="10" t="n">
        <v>476.68</v>
      </c>
      <c r="E615" s="9" t="inlineStr">
        <is>
          <t>MISC_CREDIT</t>
        </is>
      </c>
      <c r="F615" s="10" t="n">
        <v>476.68</v>
      </c>
      <c r="G615" s="9" t="inlineStr">
        <is>
          <t>Transfer - Savings to Checking</t>
        </is>
      </c>
      <c r="H615">
        <f>IFERROR(INDEX(Categories!$A$5:$A$93,MATCH(G615,Categories!$B$5:$B$93,0)),"")</f>
        <v/>
      </c>
      <c r="I615" s="9" t="inlineStr">
        <is>
          <t>H</t>
        </is>
      </c>
      <c r="J615" s="9" t="inlineStr">
        <is>
          <t>Overdraft-protection auto-pull from savings</t>
        </is>
      </c>
    </row>
    <row r="616">
      <c r="A616" s="9" t="inlineStr">
        <is>
          <t>Checking ...0861</t>
        </is>
      </c>
      <c r="B616" s="29" t="n">
        <v>46185</v>
      </c>
      <c r="C616" s="9" t="inlineStr">
        <is>
          <t>PAYPAL           TRANSFER   ADD TO BALANCE  WEB ID: PAYPALSD22</t>
        </is>
      </c>
      <c r="D616" s="10" t="n">
        <v>-50</v>
      </c>
      <c r="E616" s="9" t="inlineStr">
        <is>
          <t>ACH_DEBIT</t>
        </is>
      </c>
      <c r="F616" s="10" t="n">
        <v>0</v>
      </c>
      <c r="G616" s="9" t="inlineStr">
        <is>
          <t>Transfer - Checking to PayPal</t>
        </is>
      </c>
      <c r="H616">
        <f>IFERROR(INDEX(Categories!$A$5:$A$93,MATCH(G616,Categories!$B$5:$B$93,0)),"")</f>
        <v/>
      </c>
      <c r="I616" s="9" t="inlineStr">
        <is>
          <t>H</t>
        </is>
      </c>
      <c r="J616" s="9" t="inlineStr"/>
    </row>
    <row r="617">
      <c r="A617" s="9" t="inlineStr">
        <is>
          <t>Checking ...0861</t>
        </is>
      </c>
      <c r="B617" s="29" t="n">
        <v>46185</v>
      </c>
      <c r="C617" s="9" t="inlineStr">
        <is>
          <t>Klarna*Klarna Columbus OH                    06/12</t>
        </is>
      </c>
      <c r="D617" s="10" t="n">
        <v>-22.44</v>
      </c>
      <c r="E617" s="9" t="inlineStr">
        <is>
          <t>DEBIT_CARD</t>
        </is>
      </c>
      <c r="F617" s="10" t="n">
        <v>50</v>
      </c>
      <c r="G617" s="9" t="inlineStr">
        <is>
          <t>Klarna</t>
        </is>
      </c>
      <c r="H617">
        <f>IFERROR(INDEX(Categories!$A$5:$A$93,MATCH(G617,Categories!$B$5:$B$93,0)),"")</f>
        <v/>
      </c>
      <c r="I617" s="9" t="inlineStr">
        <is>
          <t>H</t>
        </is>
      </c>
      <c r="J617" s="9" t="inlineStr"/>
    </row>
    <row r="618">
      <c r="A618" s="9" t="inlineStr">
        <is>
          <t>Checking ...0861</t>
        </is>
      </c>
      <c r="B618" s="29" t="n">
        <v>46185</v>
      </c>
      <c r="C618" s="9" t="inlineStr">
        <is>
          <t>ODP TRANSFER FROM SAVINGS ...5953</t>
        </is>
      </c>
      <c r="D618" s="10" t="n">
        <v>72.44</v>
      </c>
      <c r="E618" s="9" t="inlineStr">
        <is>
          <t>MISC_CREDIT</t>
        </is>
      </c>
      <c r="F618" s="10" t="n">
        <v>72.44</v>
      </c>
      <c r="G618" s="9" t="inlineStr">
        <is>
          <t>Transfer - Savings to Checking</t>
        </is>
      </c>
      <c r="H618">
        <f>IFERROR(INDEX(Categories!$A$5:$A$93,MATCH(G618,Categories!$B$5:$B$93,0)),"")</f>
        <v/>
      </c>
      <c r="I618" s="9" t="inlineStr">
        <is>
          <t>H</t>
        </is>
      </c>
      <c r="J618" s="9" t="inlineStr">
        <is>
          <t>Overdraft-protection auto-pull from savings</t>
        </is>
      </c>
    </row>
    <row r="619">
      <c r="A619" s="9" t="inlineStr">
        <is>
          <t>Checking ...0861</t>
        </is>
      </c>
      <c r="B619" s="29" t="n">
        <v>46184</v>
      </c>
      <c r="C619" s="9" t="inlineStr">
        <is>
          <t>PAYPAL           PURCHASE   TIKTOK SHOP     WEB ID: PAYPALSI77</t>
        </is>
      </c>
      <c r="D619" s="10" t="n">
        <v>-7.24</v>
      </c>
      <c r="E619" s="9" t="inlineStr">
        <is>
          <t>ACH_DEBIT</t>
        </is>
      </c>
      <c r="F619" s="10" t="n">
        <v>0</v>
      </c>
      <c r="G619" s="9" t="inlineStr">
        <is>
          <t>paypal tiktok</t>
        </is>
      </c>
      <c r="H619">
        <f>IFERROR(INDEX(Categories!$A$5:$A$93,MATCH(G619,Categories!$B$5:$B$93,0)),"")</f>
        <v/>
      </c>
      <c r="I619" s="9" t="inlineStr">
        <is>
          <t>H</t>
        </is>
      </c>
      <c r="J619" s="9" t="inlineStr"/>
    </row>
    <row r="620">
      <c r="A620" s="9" t="inlineStr">
        <is>
          <t>Checking ...0861</t>
        </is>
      </c>
      <c r="B620" s="29" t="n">
        <v>46184</v>
      </c>
      <c r="C620" s="9" t="inlineStr">
        <is>
          <t>PAYPAL           PURCHASE   TIKTOK SHOP     WEB ID: PAYPALSI77</t>
        </is>
      </c>
      <c r="D620" s="10" t="n">
        <v>-24.8</v>
      </c>
      <c r="E620" s="9" t="inlineStr">
        <is>
          <t>ACH_DEBIT</t>
        </is>
      </c>
      <c r="F620" s="10" t="n">
        <v>7.24</v>
      </c>
      <c r="G620" s="9" t="inlineStr">
        <is>
          <t>paypal tiktok</t>
        </is>
      </c>
      <c r="H620">
        <f>IFERROR(INDEX(Categories!$A$5:$A$93,MATCH(G620,Categories!$B$5:$B$93,0)),"")</f>
        <v/>
      </c>
      <c r="I620" s="9" t="inlineStr">
        <is>
          <t>H</t>
        </is>
      </c>
      <c r="J620" s="9" t="inlineStr"/>
    </row>
    <row r="621">
      <c r="A621" s="9" t="inlineStr">
        <is>
          <t>Checking ...0861</t>
        </is>
      </c>
      <c r="B621" s="29" t="n">
        <v>46184</v>
      </c>
      <c r="C621" s="9" t="inlineStr">
        <is>
          <t>PAYPAL           PURCHASE   TIKTOK SHOP     WEB ID: PAYPALSI77</t>
        </is>
      </c>
      <c r="D621" s="10" t="n">
        <v>-27.59</v>
      </c>
      <c r="E621" s="9" t="inlineStr">
        <is>
          <t>ACH_DEBIT</t>
        </is>
      </c>
      <c r="F621" s="10" t="n">
        <v>32.04</v>
      </c>
      <c r="G621" s="9" t="inlineStr">
        <is>
          <t>paypal tiktok</t>
        </is>
      </c>
      <c r="H621">
        <f>IFERROR(INDEX(Categories!$A$5:$A$93,MATCH(G621,Categories!$B$5:$B$93,0)),"")</f>
        <v/>
      </c>
      <c r="I621" s="9" t="inlineStr">
        <is>
          <t>H</t>
        </is>
      </c>
      <c r="J621" s="9" t="inlineStr"/>
    </row>
    <row r="622">
      <c r="A622" s="9" t="inlineStr">
        <is>
          <t>Checking ...0861</t>
        </is>
      </c>
      <c r="B622" s="29" t="n">
        <v>46184</v>
      </c>
      <c r="C622" s="9" t="inlineStr">
        <is>
          <t>LIFE INS OF SW   XXXXXXXXXX                 PPD ID: 1954349000</t>
        </is>
      </c>
      <c r="D622" s="10" t="n">
        <v>-205.62</v>
      </c>
      <c r="E622" s="9" t="inlineStr">
        <is>
          <t>ACH_DEBIT</t>
        </is>
      </c>
      <c r="F622" s="10" t="n">
        <v>59.63</v>
      </c>
      <c r="G622" s="9" t="inlineStr">
        <is>
          <t>National Life Ins</t>
        </is>
      </c>
      <c r="H622">
        <f>IFERROR(INDEX(Categories!$A$5:$A$93,MATCH(G622,Categories!$B$5:$B$93,0)),"")</f>
        <v/>
      </c>
      <c r="I622" s="9" t="inlineStr">
        <is>
          <t>H</t>
        </is>
      </c>
      <c r="J622" s="9" t="inlineStr"/>
    </row>
    <row r="623">
      <c r="A623" s="9" t="inlineStr">
        <is>
          <t>Checking ...0861</t>
        </is>
      </c>
      <c r="B623" s="29" t="n">
        <v>46184</v>
      </c>
      <c r="C623" s="9" t="inlineStr">
        <is>
          <t>ONEPAY CASHREWRD PAYMENT    552315100369915 WEB ID: 9130142001</t>
        </is>
      </c>
      <c r="D623" s="10" t="n">
        <v>-30</v>
      </c>
      <c r="E623" s="9" t="inlineStr">
        <is>
          <t>ACH_DEBIT</t>
        </is>
      </c>
      <c r="F623" s="10" t="n">
        <v>265.25</v>
      </c>
      <c r="G623" s="9" t="inlineStr">
        <is>
          <t>CC - One Pay</t>
        </is>
      </c>
      <c r="H623">
        <f>IFERROR(INDEX(Categories!$A$5:$A$93,MATCH(G623,Categories!$B$5:$B$93,0)),"")</f>
        <v/>
      </c>
      <c r="I623" s="9" t="inlineStr">
        <is>
          <t>H</t>
        </is>
      </c>
      <c r="J623" s="9" t="inlineStr"/>
    </row>
    <row r="624">
      <c r="A624" s="9" t="inlineStr">
        <is>
          <t>Checking ...0861</t>
        </is>
      </c>
      <c r="B624" s="29" t="n">
        <v>46184</v>
      </c>
      <c r="C624" s="9" t="inlineStr">
        <is>
          <t>AMAZON.COM SERVI INTERNET   043000091134048 WEB ID: 9049016352</t>
        </is>
      </c>
      <c r="D624" s="10" t="n">
        <v>-97.06</v>
      </c>
      <c r="E624" s="9" t="inlineStr">
        <is>
          <t>ACH_DEBIT</t>
        </is>
      </c>
      <c r="F624" s="10" t="n">
        <v>295.25</v>
      </c>
      <c r="G624" s="9" t="inlineStr">
        <is>
          <t>Shop - Amazon</t>
        </is>
      </c>
      <c r="H624">
        <f>IFERROR(INDEX(Categories!$A$5:$A$93,MATCH(G624,Categories!$B$5:$B$93,0)),"")</f>
        <v/>
      </c>
      <c r="I624" s="9" t="inlineStr">
        <is>
          <t>H</t>
        </is>
      </c>
      <c r="J624" s="9" t="inlineStr"/>
    </row>
    <row r="625">
      <c r="A625" s="9" t="inlineStr">
        <is>
          <t>Checking ...0861</t>
        </is>
      </c>
      <c r="B625" s="29" t="n">
        <v>46184</v>
      </c>
      <c r="C625" s="9" t="inlineStr">
        <is>
          <t>KLARNA*WHEELTOP.US WWW.KLARNA.CO DE          06/11</t>
        </is>
      </c>
      <c r="D625" s="10" t="n">
        <v>-66.34999999999999</v>
      </c>
      <c r="E625" s="9" t="inlineStr">
        <is>
          <t>DEBIT_CARD</t>
        </is>
      </c>
      <c r="F625" s="10" t="n">
        <v>392.31</v>
      </c>
      <c r="G625" s="9" t="inlineStr">
        <is>
          <t>Klarna</t>
        </is>
      </c>
      <c r="H625">
        <f>IFERROR(INDEX(Categories!$A$5:$A$93,MATCH(G625,Categories!$B$5:$B$93,0)),"")</f>
        <v/>
      </c>
      <c r="I625" s="9" t="inlineStr">
        <is>
          <t>H</t>
        </is>
      </c>
      <c r="J625" s="9" t="inlineStr"/>
    </row>
    <row r="626">
      <c r="A626" s="9" t="inlineStr">
        <is>
          <t>Checking ...0861</t>
        </is>
      </c>
      <c r="B626" s="29" t="n">
        <v>46184</v>
      </c>
      <c r="C626" s="9" t="inlineStr">
        <is>
          <t>KLARNA*GODADDY.COM WWW.KLARNA.CO DE          06/11</t>
        </is>
      </c>
      <c r="D626" s="10" t="n">
        <v>-11.64</v>
      </c>
      <c r="E626" s="9" t="inlineStr">
        <is>
          <t>DEBIT_CARD</t>
        </is>
      </c>
      <c r="F626" s="10" t="n">
        <v>458.66</v>
      </c>
      <c r="G626" s="9" t="inlineStr">
        <is>
          <t>Klarna</t>
        </is>
      </c>
      <c r="H626">
        <f>IFERROR(INDEX(Categories!$A$5:$A$93,MATCH(G626,Categories!$B$5:$B$93,0)),"")</f>
        <v/>
      </c>
      <c r="I626" s="9" t="inlineStr">
        <is>
          <t>H</t>
        </is>
      </c>
      <c r="J626" s="9" t="inlineStr"/>
    </row>
    <row r="627">
      <c r="A627" s="9" t="inlineStr">
        <is>
          <t>Checking ...0861</t>
        </is>
      </c>
      <c r="B627" s="29" t="n">
        <v>46184</v>
      </c>
      <c r="C627" s="9" t="inlineStr">
        <is>
          <t>Primo Water Corporatio Vista CA              06/11</t>
        </is>
      </c>
      <c r="D627" s="10" t="n">
        <v>-3.1</v>
      </c>
      <c r="E627" s="9" t="inlineStr">
        <is>
          <t>DEBIT_CARD</t>
        </is>
      </c>
      <c r="F627" s="10" t="n">
        <v>470.3</v>
      </c>
      <c r="G627" s="9" t="inlineStr">
        <is>
          <t>Water</t>
        </is>
      </c>
      <c r="H627">
        <f>IFERROR(INDEX(Categories!$A$5:$A$93,MATCH(G627,Categories!$B$5:$B$93,0)),"")</f>
        <v/>
      </c>
      <c r="I627" s="9" t="inlineStr">
        <is>
          <t>H</t>
        </is>
      </c>
      <c r="J627" s="9" t="inlineStr"/>
    </row>
    <row r="628">
      <c r="A628" s="9" t="inlineStr">
        <is>
          <t>Checking ...0861</t>
        </is>
      </c>
      <c r="B628" s="29" t="n">
        <v>46184</v>
      </c>
      <c r="C628" s="9" t="inlineStr">
        <is>
          <t>Primo Water Corporatio Vista CA              06/11</t>
        </is>
      </c>
      <c r="D628" s="10" t="n">
        <v>-3.1</v>
      </c>
      <c r="E628" s="9" t="inlineStr">
        <is>
          <t>DEBIT_CARD</t>
        </is>
      </c>
      <c r="F628" s="10" t="n">
        <v>473.4</v>
      </c>
      <c r="G628" s="9" t="inlineStr">
        <is>
          <t>Water</t>
        </is>
      </c>
      <c r="H628">
        <f>IFERROR(INDEX(Categories!$A$5:$A$93,MATCH(G628,Categories!$B$5:$B$93,0)),"")</f>
        <v/>
      </c>
      <c r="I628" s="9" t="inlineStr">
        <is>
          <t>H</t>
        </is>
      </c>
      <c r="J628" s="9" t="inlineStr"/>
    </row>
    <row r="629">
      <c r="A629" s="9" t="inlineStr">
        <is>
          <t>Checking ...0861</t>
        </is>
      </c>
      <c r="B629" s="29" t="n">
        <v>46184</v>
      </c>
      <c r="C629" s="9" t="inlineStr">
        <is>
          <t>3404 EL POLLO LOCO SALINAS CA                06/10</t>
        </is>
      </c>
      <c r="D629" s="10" t="n">
        <v>-41.52</v>
      </c>
      <c r="E629" s="9" t="inlineStr">
        <is>
          <t>DEBIT_CARD</t>
        </is>
      </c>
      <c r="F629" s="10" t="n">
        <v>476.5</v>
      </c>
      <c r="G629" s="9" t="inlineStr">
        <is>
          <t>Others</t>
        </is>
      </c>
      <c r="H629">
        <f>IFERROR(INDEX(Categories!$A$5:$A$93,MATCH(G629,Categories!$B$5:$B$93,0)),"")</f>
        <v/>
      </c>
      <c r="I629" s="9" t="inlineStr">
        <is>
          <t>R</t>
        </is>
      </c>
      <c r="J629" s="9" t="inlineStr">
        <is>
          <t>Unrecognized charge - please tell me what this is</t>
        </is>
      </c>
    </row>
    <row r="630">
      <c r="A630" s="9" t="inlineStr">
        <is>
          <t>Checking ...0861</t>
        </is>
      </c>
      <c r="B630" s="29" t="n">
        <v>46184</v>
      </c>
      <c r="C630" s="9" t="inlineStr">
        <is>
          <t>UPGRADE, INC.    PAYMENT                    PPD ID: 2812807376</t>
        </is>
      </c>
      <c r="D630" s="10" t="n">
        <v>0.08</v>
      </c>
      <c r="E630" s="9" t="inlineStr">
        <is>
          <t>MISC_CREDIT</t>
        </is>
      </c>
      <c r="F630" s="10" t="n">
        <v>518.02</v>
      </c>
      <c r="G630" s="9" t="inlineStr">
        <is>
          <t>Upgrade</t>
        </is>
      </c>
      <c r="H630">
        <f>IFERROR(INDEX(Categories!$A$5:$A$93,MATCH(G630,Categories!$B$5:$B$93,0)),"")</f>
        <v/>
      </c>
      <c r="I630" s="9" t="inlineStr">
        <is>
          <t>H</t>
        </is>
      </c>
      <c r="J630" s="9" t="inlineStr"/>
    </row>
    <row r="631">
      <c r="A631" s="9" t="inlineStr">
        <is>
          <t>Checking ...0861</t>
        </is>
      </c>
      <c r="B631" s="29" t="n">
        <v>46184</v>
      </c>
      <c r="C631" s="9" t="inlineStr">
        <is>
          <t>ODP TRANSFER FROM SAVINGS ...5953</t>
        </is>
      </c>
      <c r="D631" s="10" t="n">
        <v>517.9400000000001</v>
      </c>
      <c r="E631" s="9" t="inlineStr">
        <is>
          <t>MISC_CREDIT</t>
        </is>
      </c>
      <c r="F631" s="10" t="n">
        <v>517.9400000000001</v>
      </c>
      <c r="G631" s="9" t="inlineStr">
        <is>
          <t>Transfer - Savings to Checking</t>
        </is>
      </c>
      <c r="H631">
        <f>IFERROR(INDEX(Categories!$A$5:$A$93,MATCH(G631,Categories!$B$5:$B$93,0)),"")</f>
        <v/>
      </c>
      <c r="I631" s="9" t="inlineStr">
        <is>
          <t>H</t>
        </is>
      </c>
      <c r="J631" s="9" t="inlineStr">
        <is>
          <t>Overdraft-protection auto-pull from savings</t>
        </is>
      </c>
    </row>
    <row r="632">
      <c r="A632" s="9" t="inlineStr">
        <is>
          <t>Checking ...0861</t>
        </is>
      </c>
      <c r="B632" s="29" t="n">
        <v>46183</v>
      </c>
      <c r="C632" s="9" t="inlineStr">
        <is>
          <t>ATM WITHDRAWAL                       000880  06/101590 N MA</t>
        </is>
      </c>
      <c r="D632" s="10" t="n">
        <v>-200</v>
      </c>
      <c r="E632" s="9" t="inlineStr">
        <is>
          <t>ATM</t>
        </is>
      </c>
      <c r="F632" s="10" t="n">
        <v>0</v>
      </c>
      <c r="G632" s="9" t="inlineStr">
        <is>
          <t>Others</t>
        </is>
      </c>
      <c r="H632">
        <f>IFERROR(INDEX(Categories!$A$5:$A$93,MATCH(G632,Categories!$B$5:$B$93,0)),"")</f>
        <v/>
      </c>
      <c r="I632" s="9" t="inlineStr">
        <is>
          <t>H</t>
        </is>
      </c>
      <c r="J632" s="9" t="inlineStr">
        <is>
          <t>ATM cash withdrawal - cash spend is untracked after this point</t>
        </is>
      </c>
    </row>
    <row r="633">
      <c r="A633" s="9" t="inlineStr">
        <is>
          <t>Checking ...0861</t>
        </is>
      </c>
      <c r="B633" s="29" t="n">
        <v>46183</v>
      </c>
      <c r="C633" s="9" t="inlineStr">
        <is>
          <t>AMAZON MARKETPLA INTERNET   043000098540220 WEB ID: 9049016352</t>
        </is>
      </c>
      <c r="D633" s="10" t="n">
        <v>-32.61</v>
      </c>
      <c r="E633" s="9" t="inlineStr">
        <is>
          <t>ACH_DEBIT</t>
        </is>
      </c>
      <c r="F633" s="10" t="n">
        <v>200</v>
      </c>
      <c r="G633" s="9" t="inlineStr">
        <is>
          <t>Shop - Amazon</t>
        </is>
      </c>
      <c r="H633">
        <f>IFERROR(INDEX(Categories!$A$5:$A$93,MATCH(G633,Categories!$B$5:$B$93,0)),"")</f>
        <v/>
      </c>
      <c r="I633" s="9" t="inlineStr">
        <is>
          <t>H</t>
        </is>
      </c>
      <c r="J633" s="9" t="inlineStr"/>
    </row>
    <row r="634">
      <c r="A634" s="9" t="inlineStr">
        <is>
          <t>Checking ...0861</t>
        </is>
      </c>
      <c r="B634" s="29" t="n">
        <v>46183</v>
      </c>
      <c r="C634" s="9" t="inlineStr">
        <is>
          <t>AMAZON MARKETPLA INTERNET   043000098676818 WEB ID: 9049016352</t>
        </is>
      </c>
      <c r="D634" s="10" t="n">
        <v>-32.61</v>
      </c>
      <c r="E634" s="9" t="inlineStr">
        <is>
          <t>ACH_DEBIT</t>
        </is>
      </c>
      <c r="F634" s="10" t="n">
        <v>232.61</v>
      </c>
      <c r="G634" s="9" t="inlineStr">
        <is>
          <t>Shop - Amazon</t>
        </is>
      </c>
      <c r="H634">
        <f>IFERROR(INDEX(Categories!$A$5:$A$93,MATCH(G634,Categories!$B$5:$B$93,0)),"")</f>
        <v/>
      </c>
      <c r="I634" s="9" t="inlineStr">
        <is>
          <t>H</t>
        </is>
      </c>
      <c r="J634" s="9" t="inlineStr"/>
    </row>
    <row r="635">
      <c r="A635" s="9" t="inlineStr">
        <is>
          <t>Checking ...0861</t>
        </is>
      </c>
      <c r="B635" s="29" t="n">
        <v>46183</v>
      </c>
      <c r="C635" s="9" t="inlineStr">
        <is>
          <t>AMAZON MARKETPLA INTERNET   043000098540510 WEB ID: 9049016352</t>
        </is>
      </c>
      <c r="D635" s="10" t="n">
        <v>-38.05</v>
      </c>
      <c r="E635" s="9" t="inlineStr">
        <is>
          <t>ACH_DEBIT</t>
        </is>
      </c>
      <c r="F635" s="10" t="n">
        <v>265.22</v>
      </c>
      <c r="G635" s="9" t="inlineStr">
        <is>
          <t>Shop - Amazon</t>
        </is>
      </c>
      <c r="H635">
        <f>IFERROR(INDEX(Categories!$A$5:$A$93,MATCH(G635,Categories!$B$5:$B$93,0)),"")</f>
        <v/>
      </c>
      <c r="I635" s="9" t="inlineStr">
        <is>
          <t>H</t>
        </is>
      </c>
      <c r="J635" s="9" t="inlineStr"/>
    </row>
    <row r="636">
      <c r="A636" s="9" t="inlineStr">
        <is>
          <t>Checking ...0861</t>
        </is>
      </c>
      <c r="B636" s="29" t="n">
        <v>46183</v>
      </c>
      <c r="C636" s="9" t="inlineStr">
        <is>
          <t>TAPIOCA DELIGHT 141-54691986 CA              06/10</t>
        </is>
      </c>
      <c r="D636" s="10" t="n">
        <v>-32</v>
      </c>
      <c r="E636" s="9" t="inlineStr">
        <is>
          <t>DEBIT_CARD</t>
        </is>
      </c>
      <c r="F636" s="10" t="n">
        <v>303.27</v>
      </c>
      <c r="G636" s="9" t="inlineStr">
        <is>
          <t>Food - Eat Out</t>
        </is>
      </c>
      <c r="H636">
        <f>IFERROR(INDEX(Categories!$A$5:$A$93,MATCH(G636,Categories!$B$5:$B$93,0)),"")</f>
        <v/>
      </c>
      <c r="I636" s="9" t="inlineStr">
        <is>
          <t>D</t>
        </is>
      </c>
      <c r="J636" s="9" t="inlineStr">
        <is>
          <t>Restaurant/fast-food - defaulted to Eat Out; move to Food - Ailynn/Chris/Misc if you know whose order it was</t>
        </is>
      </c>
    </row>
    <row r="637">
      <c r="A637" s="9" t="inlineStr">
        <is>
          <t>Checking ...0861</t>
        </is>
      </c>
      <c r="B637" s="29" t="n">
        <v>46183</v>
      </c>
      <c r="C637" s="9" t="inlineStr">
        <is>
          <t>TAPIOCA DELIGHT 141-54691986 CA              06/10</t>
        </is>
      </c>
      <c r="D637" s="10" t="n">
        <v>-39.02</v>
      </c>
      <c r="E637" s="9" t="inlineStr">
        <is>
          <t>DEBIT_CARD</t>
        </is>
      </c>
      <c r="F637" s="10" t="n">
        <v>335.27</v>
      </c>
      <c r="G637" s="9" t="inlineStr">
        <is>
          <t>Food - Eat Out</t>
        </is>
      </c>
      <c r="H637">
        <f>IFERROR(INDEX(Categories!$A$5:$A$93,MATCH(G637,Categories!$B$5:$B$93,0)),"")</f>
        <v/>
      </c>
      <c r="I637" s="9" t="inlineStr">
        <is>
          <t>D</t>
        </is>
      </c>
      <c r="J637" s="9" t="inlineStr">
        <is>
          <t>Restaurant/fast-food - defaulted to Eat Out; move to Food - Ailynn/Chris/Misc if you know whose order it was</t>
        </is>
      </c>
    </row>
    <row r="638">
      <c r="A638" s="9" t="inlineStr">
        <is>
          <t>Checking ...0861</t>
        </is>
      </c>
      <c r="B638" s="29" t="n">
        <v>46183</v>
      </c>
      <c r="C638" s="9" t="inlineStr">
        <is>
          <t>Taptap Send New York NY                      06/10</t>
        </is>
      </c>
      <c r="D638" s="10" t="n">
        <v>-81.83</v>
      </c>
      <c r="E638" s="9" t="inlineStr">
        <is>
          <t>DEBIT_CARD</t>
        </is>
      </c>
      <c r="F638" s="10" t="n">
        <v>374.29</v>
      </c>
      <c r="G638" s="9" t="inlineStr">
        <is>
          <t>Remittance - others</t>
        </is>
      </c>
      <c r="H638">
        <f>IFERROR(INDEX(Categories!$A$5:$A$93,MATCH(G638,Categories!$B$5:$B$93,0)),"")</f>
        <v/>
      </c>
      <c r="I638" s="9" t="inlineStr">
        <is>
          <t>R</t>
        </is>
      </c>
      <c r="J638" s="9" t="inlineStr">
        <is>
          <t>Remittance app transfer - recipient not shown; please tell me if this is Aron, Aron's tuition, or someone else</t>
        </is>
      </c>
    </row>
    <row r="639">
      <c r="A639" s="9" t="inlineStr">
        <is>
          <t>Checking ...0861</t>
        </is>
      </c>
      <c r="B639" s="29" t="n">
        <v>46183</v>
      </c>
      <c r="C639" s="9" t="inlineStr">
        <is>
          <t>DIAMOND DENTAL OF SALIN SALINAS CA           06/09</t>
        </is>
      </c>
      <c r="D639" s="10" t="n">
        <v>-175</v>
      </c>
      <c r="E639" s="9" t="inlineStr">
        <is>
          <t>DEBIT_CARD</t>
        </is>
      </c>
      <c r="F639" s="10" t="n">
        <v>456.12</v>
      </c>
      <c r="G639" s="9" t="inlineStr">
        <is>
          <t>Medical</t>
        </is>
      </c>
      <c r="H639">
        <f>IFERROR(INDEX(Categories!$A$5:$A$93,MATCH(G639,Categories!$B$5:$B$93,0)),"")</f>
        <v/>
      </c>
      <c r="I639" s="9" t="inlineStr">
        <is>
          <t>H</t>
        </is>
      </c>
      <c r="J639" s="9" t="inlineStr"/>
    </row>
    <row r="640">
      <c r="A640" s="9" t="inlineStr">
        <is>
          <t>Checking ...0861</t>
        </is>
      </c>
      <c r="B640" s="29" t="n">
        <v>46183</v>
      </c>
      <c r="C640" s="9" t="inlineStr">
        <is>
          <t>TST*APTOS ST BBQ Aptos CA                    06/09</t>
        </is>
      </c>
      <c r="D640" s="10" t="n">
        <v>-43.53</v>
      </c>
      <c r="E640" s="9" t="inlineStr">
        <is>
          <t>DEBIT_CARD</t>
        </is>
      </c>
      <c r="F640" s="10" t="n">
        <v>631.12</v>
      </c>
      <c r="G640" s="9" t="inlineStr">
        <is>
          <t>Food - Eat Out</t>
        </is>
      </c>
      <c r="H640">
        <f>IFERROR(INDEX(Categories!$A$5:$A$93,MATCH(G640,Categories!$B$5:$B$93,0)),"")</f>
        <v/>
      </c>
      <c r="I640" s="9" t="inlineStr">
        <is>
          <t>D</t>
        </is>
      </c>
      <c r="J640" s="9" t="inlineStr">
        <is>
          <t>Restaurant/fast-food - defaulted to Eat Out; move to Food - Ailynn/Chris/Misc if you know whose order it was</t>
        </is>
      </c>
    </row>
    <row r="641">
      <c r="A641" s="9" t="inlineStr">
        <is>
          <t>Checking ...0861</t>
        </is>
      </c>
      <c r="B641" s="29" t="n">
        <v>46183</v>
      </c>
      <c r="C641" s="9" t="inlineStr">
        <is>
          <t>CHEVRON 0091927 WATSONVILLE CA               06/09</t>
        </is>
      </c>
      <c r="D641" s="10" t="n">
        <v>-30.01</v>
      </c>
      <c r="E641" s="9" t="inlineStr">
        <is>
          <t>DEBIT_CARD</t>
        </is>
      </c>
      <c r="F641" s="10" t="n">
        <v>674.65</v>
      </c>
      <c r="G641" s="9" t="inlineStr">
        <is>
          <t>Gas</t>
        </is>
      </c>
      <c r="H641">
        <f>IFERROR(INDEX(Categories!$A$5:$A$93,MATCH(G641,Categories!$B$5:$B$93,0)),"")</f>
        <v/>
      </c>
      <c r="I641" s="9" t="inlineStr">
        <is>
          <t>D</t>
        </is>
      </c>
      <c r="J641" s="9" t="inlineStr"/>
    </row>
    <row r="642">
      <c r="A642" s="9" t="inlineStr">
        <is>
          <t>Checking ...0861</t>
        </is>
      </c>
      <c r="B642" s="29" t="n">
        <v>46183</v>
      </c>
      <c r="C642" s="9" t="inlineStr">
        <is>
          <t>Zelle payment from AMAYA FRANCIS SMITH 29570698597</t>
        </is>
      </c>
      <c r="D642" s="10" t="n">
        <v>150</v>
      </c>
      <c r="E642" s="9" t="inlineStr">
        <is>
          <t>QUICKPAY_CREDIT</t>
        </is>
      </c>
      <c r="F642" s="10" t="n">
        <v>704.66</v>
      </c>
      <c r="G642" s="9" t="inlineStr">
        <is>
          <t>Others - Income</t>
        </is>
      </c>
      <c r="H642">
        <f>IFERROR(INDEX(Categories!$A$5:$A$93,MATCH(G642,Categories!$B$5:$B$93,0)),"")</f>
        <v/>
      </c>
      <c r="I642" s="9" t="inlineStr">
        <is>
          <t>R</t>
        </is>
      </c>
      <c r="J642" s="9" t="inlineStr">
        <is>
          <t>Zelle received - please tell me who this person is so I can map them to a category</t>
        </is>
      </c>
    </row>
    <row r="643">
      <c r="A643" s="9" t="inlineStr">
        <is>
          <t>Checking ...0861</t>
        </is>
      </c>
      <c r="B643" s="29" t="n">
        <v>46183</v>
      </c>
      <c r="C643" s="9" t="inlineStr">
        <is>
          <t>ODP TRANSFER FROM SAVINGS ...5953</t>
        </is>
      </c>
      <c r="D643" s="10" t="n">
        <v>168.52</v>
      </c>
      <c r="E643" s="9" t="inlineStr">
        <is>
          <t>MISC_CREDIT</t>
        </is>
      </c>
      <c r="F643" s="10" t="n">
        <v>554.66</v>
      </c>
      <c r="G643" s="9" t="inlineStr">
        <is>
          <t>Transfer - Savings to Checking</t>
        </is>
      </c>
      <c r="H643">
        <f>IFERROR(INDEX(Categories!$A$5:$A$93,MATCH(G643,Categories!$B$5:$B$93,0)),"")</f>
        <v/>
      </c>
      <c r="I643" s="9" t="inlineStr">
        <is>
          <t>H</t>
        </is>
      </c>
      <c r="J643" s="9" t="inlineStr">
        <is>
          <t>Overdraft-protection auto-pull from savings</t>
        </is>
      </c>
    </row>
    <row r="644">
      <c r="A644" s="9" t="inlineStr">
        <is>
          <t>Checking ...0861</t>
        </is>
      </c>
      <c r="B644" s="29" t="n">
        <v>46182</v>
      </c>
      <c r="C644" s="9" t="inlineStr">
        <is>
          <t>AMAZON MARKETPLA INTERNET   043000097526814 WEB ID: 9049016352</t>
        </is>
      </c>
      <c r="D644" s="10" t="n">
        <v>-21.74</v>
      </c>
      <c r="E644" s="9" t="inlineStr">
        <is>
          <t>ACH_DEBIT</t>
        </is>
      </c>
      <c r="F644" s="10" t="n">
        <v>386.14</v>
      </c>
      <c r="G644" s="9" t="inlineStr">
        <is>
          <t>Shop - Amazon</t>
        </is>
      </c>
      <c r="H644">
        <f>IFERROR(INDEX(Categories!$A$5:$A$93,MATCH(G644,Categories!$B$5:$B$93,0)),"")</f>
        <v/>
      </c>
      <c r="I644" s="9" t="inlineStr">
        <is>
          <t>H</t>
        </is>
      </c>
      <c r="J644" s="9" t="inlineStr"/>
    </row>
    <row r="645">
      <c r="A645" s="9" t="inlineStr">
        <is>
          <t>Checking ...0861</t>
        </is>
      </c>
      <c r="B645" s="29" t="n">
        <v>46182</v>
      </c>
      <c r="C645" s="9" t="inlineStr">
        <is>
          <t>WAL-MART #5751 SALINAS CA                    06/08</t>
        </is>
      </c>
      <c r="D645" s="10" t="n">
        <v>-99.84999999999999</v>
      </c>
      <c r="E645" s="9" t="inlineStr">
        <is>
          <t>DEBIT_CARD</t>
        </is>
      </c>
      <c r="F645" s="10" t="n">
        <v>407.88</v>
      </c>
      <c r="G645" s="9" t="inlineStr">
        <is>
          <t>Groceries - Walmart</t>
        </is>
      </c>
      <c r="H645">
        <f>IFERROR(INDEX(Categories!$A$5:$A$93,MATCH(G645,Categories!$B$5:$B$93,0)),"")</f>
        <v/>
      </c>
      <c r="I645" s="9" t="inlineStr">
        <is>
          <t>H</t>
        </is>
      </c>
      <c r="J645" s="9" t="inlineStr"/>
    </row>
    <row r="646">
      <c r="A646" s="9" t="inlineStr">
        <is>
          <t>Checking ...0861</t>
        </is>
      </c>
      <c r="B646" s="29" t="n">
        <v>46182</v>
      </c>
      <c r="C646" s="9" t="inlineStr">
        <is>
          <t>WHATNOT WHATNOT.COM CA                       06/08</t>
        </is>
      </c>
      <c r="D646" s="10" t="n">
        <v>-16.78</v>
      </c>
      <c r="E646" s="9" t="inlineStr">
        <is>
          <t>DEBIT_CARD</t>
        </is>
      </c>
      <c r="F646" s="10" t="n">
        <v>507.73</v>
      </c>
      <c r="G646" s="9" t="inlineStr">
        <is>
          <t>Shop - Whatnot</t>
        </is>
      </c>
      <c r="H646">
        <f>IFERROR(INDEX(Categories!$A$5:$A$93,MATCH(G646,Categories!$B$5:$B$93,0)),"")</f>
        <v/>
      </c>
      <c r="I646" s="9" t="inlineStr">
        <is>
          <t>H</t>
        </is>
      </c>
      <c r="J646" s="9" t="inlineStr"/>
    </row>
    <row r="647">
      <c r="A647" s="9" t="inlineStr">
        <is>
          <t>Checking ...0861</t>
        </is>
      </c>
      <c r="B647" s="29" t="n">
        <v>46182</v>
      </c>
      <c r="C647" s="9" t="inlineStr">
        <is>
          <t>WHATNOT WHATNOT.COM CA                       06/08</t>
        </is>
      </c>
      <c r="D647" s="10" t="n">
        <v>-47.51</v>
      </c>
      <c r="E647" s="9" t="inlineStr">
        <is>
          <t>DEBIT_CARD</t>
        </is>
      </c>
      <c r="F647" s="10" t="n">
        <v>524.51</v>
      </c>
      <c r="G647" s="9" t="inlineStr">
        <is>
          <t>Shop - Whatnot</t>
        </is>
      </c>
      <c r="H647">
        <f>IFERROR(INDEX(Categories!$A$5:$A$93,MATCH(G647,Categories!$B$5:$B$93,0)),"")</f>
        <v/>
      </c>
      <c r="I647" s="9" t="inlineStr">
        <is>
          <t>H</t>
        </is>
      </c>
      <c r="J647" s="9" t="inlineStr"/>
    </row>
    <row r="648">
      <c r="A648" s="9" t="inlineStr">
        <is>
          <t>Checking ...0861</t>
        </is>
      </c>
      <c r="B648" s="29" t="n">
        <v>46182</v>
      </c>
      <c r="C648" s="9" t="inlineStr">
        <is>
          <t>DD *DOORDASH THECRABB DOORDASH.COM CA        06/09</t>
        </is>
      </c>
      <c r="D648" s="10" t="n">
        <v>-53.94</v>
      </c>
      <c r="E648" s="9" t="inlineStr">
        <is>
          <t>DEBIT_CARD</t>
        </is>
      </c>
      <c r="F648" s="10" t="n">
        <v>572.02</v>
      </c>
      <c r="G648" s="9" t="inlineStr">
        <is>
          <t>Food - To go</t>
        </is>
      </c>
      <c r="H648">
        <f>IFERROR(INDEX(Categories!$A$5:$A$93,MATCH(G648,Categories!$B$5:$B$93,0)),"")</f>
        <v/>
      </c>
      <c r="I648" s="9" t="inlineStr">
        <is>
          <t>H</t>
        </is>
      </c>
      <c r="J648" s="9" t="inlineStr"/>
    </row>
    <row r="649">
      <c r="A649" s="9" t="inlineStr">
        <is>
          <t>Checking ...0861</t>
        </is>
      </c>
      <c r="B649" s="29" t="n">
        <v>46181</v>
      </c>
      <c r="C649" s="9" t="inlineStr">
        <is>
          <t>AFTERPAY 185-52896014 CA                     06/08</t>
        </is>
      </c>
      <c r="D649" s="10" t="n">
        <v>-10.74</v>
      </c>
      <c r="E649" s="9" t="inlineStr">
        <is>
          <t>DEBIT_CARD</t>
        </is>
      </c>
      <c r="F649" s="10" t="n">
        <v>625.96</v>
      </c>
      <c r="G649" s="9" t="inlineStr">
        <is>
          <t>Afterpay</t>
        </is>
      </c>
      <c r="H649">
        <f>IFERROR(INDEX(Categories!$A$5:$A$93,MATCH(G649,Categories!$B$5:$B$93,0)),"")</f>
        <v/>
      </c>
      <c r="I649" s="9" t="inlineStr">
        <is>
          <t>H</t>
        </is>
      </c>
      <c r="J649" s="9" t="inlineStr"/>
    </row>
    <row r="650">
      <c r="A650" s="9" t="inlineStr">
        <is>
          <t>Checking ...0861</t>
        </is>
      </c>
      <c r="B650" s="29" t="n">
        <v>46181</v>
      </c>
      <c r="C650" s="9" t="inlineStr">
        <is>
          <t>Netflix.com 408-5403700 CA                   06/08</t>
        </is>
      </c>
      <c r="D650" s="10" t="n">
        <v>-29.98</v>
      </c>
      <c r="E650" s="9" t="inlineStr">
        <is>
          <t>DEBIT_CARD</t>
        </is>
      </c>
      <c r="F650" s="10" t="n">
        <v>636.7</v>
      </c>
      <c r="G650" s="9" t="inlineStr">
        <is>
          <t>Netflix</t>
        </is>
      </c>
      <c r="H650">
        <f>IFERROR(INDEX(Categories!$A$5:$A$93,MATCH(G650,Categories!$B$5:$B$93,0)),"")</f>
        <v/>
      </c>
      <c r="I650" s="9" t="inlineStr">
        <is>
          <t>H</t>
        </is>
      </c>
      <c r="J650" s="9" t="inlineStr"/>
    </row>
    <row r="651">
      <c r="A651" s="9" t="inlineStr">
        <is>
          <t>Checking ...0861</t>
        </is>
      </c>
      <c r="B651" s="29" t="n">
        <v>46181</v>
      </c>
      <c r="C651" s="9" t="inlineStr">
        <is>
          <t>Taptap Send New York NY                      06/08</t>
        </is>
      </c>
      <c r="D651" s="10" t="n">
        <v>-163.39</v>
      </c>
      <c r="E651" s="9" t="inlineStr">
        <is>
          <t>DEBIT_CARD</t>
        </is>
      </c>
      <c r="F651" s="10" t="n">
        <v>666.6799999999999</v>
      </c>
      <c r="G651" s="9" t="inlineStr">
        <is>
          <t>Remittance - others</t>
        </is>
      </c>
      <c r="H651">
        <f>IFERROR(INDEX(Categories!$A$5:$A$93,MATCH(G651,Categories!$B$5:$B$93,0)),"")</f>
        <v/>
      </c>
      <c r="I651" s="9" t="inlineStr">
        <is>
          <t>R</t>
        </is>
      </c>
      <c r="J651" s="9" t="inlineStr">
        <is>
          <t>Remittance app transfer - recipient not shown; please tell me if this is Aron, Aron's tuition, or someone else</t>
        </is>
      </c>
    </row>
    <row r="652">
      <c r="A652" s="9" t="inlineStr">
        <is>
          <t>Checking ...0861</t>
        </is>
      </c>
      <c r="B652" s="29" t="n">
        <v>46181</v>
      </c>
      <c r="C652" s="9" t="inlineStr">
        <is>
          <t>AMAZON MARKETPLA INTERNET   043000095795610 WEB ID: 9049016352</t>
        </is>
      </c>
      <c r="D652" s="10" t="n">
        <v>-8.69</v>
      </c>
      <c r="E652" s="9" t="inlineStr">
        <is>
          <t>ACH_DEBIT</t>
        </is>
      </c>
      <c r="F652" s="10" t="n">
        <v>830.0700000000001</v>
      </c>
      <c r="G652" s="9" t="inlineStr">
        <is>
          <t>Shop - Amazon</t>
        </is>
      </c>
      <c r="H652">
        <f>IFERROR(INDEX(Categories!$A$5:$A$93,MATCH(G652,Categories!$B$5:$B$93,0)),"")</f>
        <v/>
      </c>
      <c r="I652" s="9" t="inlineStr">
        <is>
          <t>H</t>
        </is>
      </c>
      <c r="J652" s="9" t="inlineStr"/>
    </row>
    <row r="653">
      <c r="A653" s="9" t="inlineStr">
        <is>
          <t>Checking ...0861</t>
        </is>
      </c>
      <c r="B653" s="29" t="n">
        <v>46181</v>
      </c>
      <c r="C653" s="9" t="inlineStr">
        <is>
          <t>PAYPAL           PURCHASE   TIKTOK SHOP     WEB ID: PAYPALSI77</t>
        </is>
      </c>
      <c r="D653" s="10" t="n">
        <v>-10.97</v>
      </c>
      <c r="E653" s="9" t="inlineStr">
        <is>
          <t>ACH_DEBIT</t>
        </is>
      </c>
      <c r="F653" s="10" t="n">
        <v>838.76</v>
      </c>
      <c r="G653" s="9" t="inlineStr">
        <is>
          <t>paypal tiktok</t>
        </is>
      </c>
      <c r="H653">
        <f>IFERROR(INDEX(Categories!$A$5:$A$93,MATCH(G653,Categories!$B$5:$B$93,0)),"")</f>
        <v/>
      </c>
      <c r="I653" s="9" t="inlineStr">
        <is>
          <t>H</t>
        </is>
      </c>
      <c r="J653" s="9" t="inlineStr"/>
    </row>
    <row r="654">
      <c r="A654" s="9" t="inlineStr">
        <is>
          <t>Checking ...0861</t>
        </is>
      </c>
      <c r="B654" s="29" t="n">
        <v>46181</v>
      </c>
      <c r="C654" s="9" t="inlineStr">
        <is>
          <t>PAYPAL           PURCHASE   TIKTOK SHOP     WEB ID: PAYPALSI77</t>
        </is>
      </c>
      <c r="D654" s="10" t="n">
        <v>-11.71</v>
      </c>
      <c r="E654" s="9" t="inlineStr">
        <is>
          <t>ACH_DEBIT</t>
        </is>
      </c>
      <c r="F654" s="10" t="n">
        <v>849.73</v>
      </c>
      <c r="G654" s="9" t="inlineStr">
        <is>
          <t>paypal tiktok</t>
        </is>
      </c>
      <c r="H654">
        <f>IFERROR(INDEX(Categories!$A$5:$A$93,MATCH(G654,Categories!$B$5:$B$93,0)),"")</f>
        <v/>
      </c>
      <c r="I654" s="9" t="inlineStr">
        <is>
          <t>H</t>
        </is>
      </c>
      <c r="J654" s="9" t="inlineStr"/>
    </row>
    <row r="655">
      <c r="A655" s="9" t="inlineStr">
        <is>
          <t>Checking ...0861</t>
        </is>
      </c>
      <c r="B655" s="29" t="n">
        <v>46181</v>
      </c>
      <c r="C655" s="9" t="inlineStr">
        <is>
          <t>AMAZON MARKETPLA INTERNET   043000096302898 WEB ID: 9049016352</t>
        </is>
      </c>
      <c r="D655" s="10" t="n">
        <v>-21.64</v>
      </c>
      <c r="E655" s="9" t="inlineStr">
        <is>
          <t>ACH_DEBIT</t>
        </is>
      </c>
      <c r="F655" s="10" t="n">
        <v>861.4400000000001</v>
      </c>
      <c r="G655" s="9" t="inlineStr">
        <is>
          <t>Shop - Amazon</t>
        </is>
      </c>
      <c r="H655">
        <f>IFERROR(INDEX(Categories!$A$5:$A$93,MATCH(G655,Categories!$B$5:$B$93,0)),"")</f>
        <v/>
      </c>
      <c r="I655" s="9" t="inlineStr">
        <is>
          <t>H</t>
        </is>
      </c>
      <c r="J655" s="9" t="inlineStr"/>
    </row>
    <row r="656">
      <c r="A656" s="9" t="inlineStr">
        <is>
          <t>Checking ...0861</t>
        </is>
      </c>
      <c r="B656" s="29" t="n">
        <v>46181</v>
      </c>
      <c r="C656" s="9" t="inlineStr">
        <is>
          <t>PAYPAL           PURCHASE   TIKTOK SHOP     WEB ID: PAYPALSI77</t>
        </is>
      </c>
      <c r="D656" s="10" t="n">
        <v>-30.33</v>
      </c>
      <c r="E656" s="9" t="inlineStr">
        <is>
          <t>ACH_DEBIT</t>
        </is>
      </c>
      <c r="F656" s="10" t="n">
        <v>883.08</v>
      </c>
      <c r="G656" s="9" t="inlineStr">
        <is>
          <t>paypal tiktok</t>
        </is>
      </c>
      <c r="H656">
        <f>IFERROR(INDEX(Categories!$A$5:$A$93,MATCH(G656,Categories!$B$5:$B$93,0)),"")</f>
        <v/>
      </c>
      <c r="I656" s="9" t="inlineStr">
        <is>
          <t>H</t>
        </is>
      </c>
      <c r="J656" s="9" t="inlineStr"/>
    </row>
    <row r="657">
      <c r="A657" s="9" t="inlineStr">
        <is>
          <t>Checking ...0861</t>
        </is>
      </c>
      <c r="B657" s="29" t="n">
        <v>46181</v>
      </c>
      <c r="C657" s="9" t="inlineStr">
        <is>
          <t>PAYPAL           PURCHASE   TIKTOK SHOP     WEB ID: PAYPALSI77</t>
        </is>
      </c>
      <c r="D657" s="10" t="n">
        <v>-36.21</v>
      </c>
      <c r="E657" s="9" t="inlineStr">
        <is>
          <t>ACH_DEBIT</t>
        </is>
      </c>
      <c r="F657" s="10" t="n">
        <v>913.41</v>
      </c>
      <c r="G657" s="9" t="inlineStr">
        <is>
          <t>paypal tiktok</t>
        </is>
      </c>
      <c r="H657">
        <f>IFERROR(INDEX(Categories!$A$5:$A$93,MATCH(G657,Categories!$B$5:$B$93,0)),"")</f>
        <v/>
      </c>
      <c r="I657" s="9" t="inlineStr">
        <is>
          <t>H</t>
        </is>
      </c>
      <c r="J657" s="9" t="inlineStr"/>
    </row>
    <row r="658">
      <c r="A658" s="9" t="inlineStr">
        <is>
          <t>Checking ...0861</t>
        </is>
      </c>
      <c r="B658" s="29" t="n">
        <v>46181</v>
      </c>
      <c r="C658" s="9" t="inlineStr">
        <is>
          <t>AMAZON MARKETPLA INTERNET   043000095944332 WEB ID: 9049016352</t>
        </is>
      </c>
      <c r="D658" s="10" t="n">
        <v>-40.13</v>
      </c>
      <c r="E658" s="9" t="inlineStr">
        <is>
          <t>ACH_DEBIT</t>
        </is>
      </c>
      <c r="F658" s="10" t="n">
        <v>949.62</v>
      </c>
      <c r="G658" s="9" t="inlineStr">
        <is>
          <t>Shop - Amazon</t>
        </is>
      </c>
      <c r="H658">
        <f>IFERROR(INDEX(Categories!$A$5:$A$93,MATCH(G658,Categories!$B$5:$B$93,0)),"")</f>
        <v/>
      </c>
      <c r="I658" s="9" t="inlineStr">
        <is>
          <t>H</t>
        </is>
      </c>
      <c r="J658" s="9" t="inlineStr"/>
    </row>
    <row r="659">
      <c r="A659" s="9" t="inlineStr">
        <is>
          <t>Checking ...0861</t>
        </is>
      </c>
      <c r="B659" s="29" t="n">
        <v>46181</v>
      </c>
      <c r="C659" s="9" t="inlineStr">
        <is>
          <t>CAPITAL ONE AUTO CARPAY     CP02FC9C3E49F8F WEB ID: 9541719806</t>
        </is>
      </c>
      <c r="D659" s="10" t="n">
        <v>-709.9</v>
      </c>
      <c r="E659" s="9" t="inlineStr">
        <is>
          <t>ACH_DEBIT</t>
        </is>
      </c>
      <c r="F659" s="10" t="n">
        <v>989.75</v>
      </c>
      <c r="G659" s="9" t="inlineStr">
        <is>
          <t>Car payment</t>
        </is>
      </c>
      <c r="H659">
        <f>IFERROR(INDEX(Categories!$A$5:$A$93,MATCH(G659,Categories!$B$5:$B$93,0)),"")</f>
        <v/>
      </c>
      <c r="I659" s="9" t="inlineStr">
        <is>
          <t>H</t>
        </is>
      </c>
      <c r="J659" s="9" t="inlineStr"/>
    </row>
    <row r="660">
      <c r="A660" s="9" t="inlineStr">
        <is>
          <t>Checking ...0861</t>
        </is>
      </c>
      <c r="B660" s="29" t="n">
        <v>46181</v>
      </c>
      <c r="C660" s="9" t="inlineStr">
        <is>
          <t>WHATNOT WHATNOT.COM CA                       06/08</t>
        </is>
      </c>
      <c r="D660" s="10" t="n">
        <v>-24.85</v>
      </c>
      <c r="E660" s="9" t="inlineStr">
        <is>
          <t>DEBIT_CARD</t>
        </is>
      </c>
      <c r="F660" s="10" t="n">
        <v>1699.65</v>
      </c>
      <c r="G660" s="9" t="inlineStr">
        <is>
          <t>Shop - Whatnot</t>
        </is>
      </c>
      <c r="H660">
        <f>IFERROR(INDEX(Categories!$A$5:$A$93,MATCH(G660,Categories!$B$5:$B$93,0)),"")</f>
        <v/>
      </c>
      <c r="I660" s="9" t="inlineStr">
        <is>
          <t>H</t>
        </is>
      </c>
      <c r="J660" s="9" t="inlineStr"/>
    </row>
    <row r="661">
      <c r="A661" s="9" t="inlineStr">
        <is>
          <t>Checking ...0861</t>
        </is>
      </c>
      <c r="B661" s="29" t="n">
        <v>46181</v>
      </c>
      <c r="C661" s="9" t="inlineStr">
        <is>
          <t>WHATNOT WHATNOT.COM CA                       06/08</t>
        </is>
      </c>
      <c r="D661" s="10" t="n">
        <v>-30.39</v>
      </c>
      <c r="E661" s="9" t="inlineStr">
        <is>
          <t>DEBIT_CARD</t>
        </is>
      </c>
      <c r="F661" s="10" t="n">
        <v>1724.5</v>
      </c>
      <c r="G661" s="9" t="inlineStr">
        <is>
          <t>Shop - Whatnot</t>
        </is>
      </c>
      <c r="H661">
        <f>IFERROR(INDEX(Categories!$A$5:$A$93,MATCH(G661,Categories!$B$5:$B$93,0)),"")</f>
        <v/>
      </c>
      <c r="I661" s="9" t="inlineStr">
        <is>
          <t>H</t>
        </is>
      </c>
      <c r="J661" s="9" t="inlineStr"/>
    </row>
    <row r="662">
      <c r="A662" s="9" t="inlineStr">
        <is>
          <t>Checking ...0861</t>
        </is>
      </c>
      <c r="B662" s="29" t="n">
        <v>46181</v>
      </c>
      <c r="C662" s="9" t="inlineStr">
        <is>
          <t>WHATNOT WHATNOT.COM CA                       06/07</t>
        </is>
      </c>
      <c r="D662" s="10" t="n">
        <v>-18.49</v>
      </c>
      <c r="E662" s="9" t="inlineStr">
        <is>
          <t>DEBIT_CARD</t>
        </is>
      </c>
      <c r="F662" s="10" t="n">
        <v>1754.89</v>
      </c>
      <c r="G662" s="9" t="inlineStr">
        <is>
          <t>Shop - Whatnot</t>
        </is>
      </c>
      <c r="H662">
        <f>IFERROR(INDEX(Categories!$A$5:$A$93,MATCH(G662,Categories!$B$5:$B$93,0)),"")</f>
        <v/>
      </c>
      <c r="I662" s="9" t="inlineStr">
        <is>
          <t>H</t>
        </is>
      </c>
      <c r="J662" s="9" t="inlineStr"/>
    </row>
    <row r="663">
      <c r="A663" s="9" t="inlineStr">
        <is>
          <t>Checking ...0861</t>
        </is>
      </c>
      <c r="B663" s="29" t="n">
        <v>46181</v>
      </c>
      <c r="C663" s="9" t="inlineStr">
        <is>
          <t>SQ *CHEESECAKE DREAMATI Marina CA            06/07</t>
        </is>
      </c>
      <c r="D663" s="10" t="n">
        <v>-25.1</v>
      </c>
      <c r="E663" s="9" t="inlineStr">
        <is>
          <t>DEBIT_CARD</t>
        </is>
      </c>
      <c r="F663" s="10" t="n">
        <v>1773.38</v>
      </c>
      <c r="G663" s="9" t="inlineStr">
        <is>
          <t>Food - Eat Out</t>
        </is>
      </c>
      <c r="H663">
        <f>IFERROR(INDEX(Categories!$A$5:$A$93,MATCH(G663,Categories!$B$5:$B$93,0)),"")</f>
        <v/>
      </c>
      <c r="I663" s="9" t="inlineStr">
        <is>
          <t>D</t>
        </is>
      </c>
      <c r="J663" s="9" t="inlineStr"/>
    </row>
    <row r="664">
      <c r="A664" s="9" t="inlineStr">
        <is>
          <t>Checking ...0861</t>
        </is>
      </c>
      <c r="B664" s="29" t="n">
        <v>46181</v>
      </c>
      <c r="C664" s="9" t="inlineStr">
        <is>
          <t>CKE*DADDY'S CITY DINER MARINA CA             06/07</t>
        </is>
      </c>
      <c r="D664" s="10" t="n">
        <v>-55</v>
      </c>
      <c r="E664" s="9" t="inlineStr">
        <is>
          <t>DEBIT_CARD</t>
        </is>
      </c>
      <c r="F664" s="10" t="n">
        <v>1798.48</v>
      </c>
      <c r="G664" s="9" t="inlineStr">
        <is>
          <t>Food - Eat Out</t>
        </is>
      </c>
      <c r="H664">
        <f>IFERROR(INDEX(Categories!$A$5:$A$93,MATCH(G664,Categories!$B$5:$B$93,0)),"")</f>
        <v/>
      </c>
      <c r="I664" s="9" t="inlineStr">
        <is>
          <t>D</t>
        </is>
      </c>
      <c r="J664" s="9" t="inlineStr">
        <is>
          <t>Restaurant/fast-food - defaulted to Eat Out; move to Food - Ailynn/Chris/Misc if you know whose order it was</t>
        </is>
      </c>
    </row>
    <row r="665">
      <c r="A665" s="9" t="inlineStr">
        <is>
          <t>Checking ...0861</t>
        </is>
      </c>
      <c r="B665" s="29" t="n">
        <v>46181</v>
      </c>
      <c r="C665" s="9" t="inlineStr">
        <is>
          <t>WHATNOT WHATNOT.COM CA                       06/07</t>
        </is>
      </c>
      <c r="D665" s="10" t="n">
        <v>-55.98</v>
      </c>
      <c r="E665" s="9" t="inlineStr">
        <is>
          <t>DEBIT_CARD</t>
        </is>
      </c>
      <c r="F665" s="10" t="n">
        <v>1853.48</v>
      </c>
      <c r="G665" s="9" t="inlineStr">
        <is>
          <t>Shop - Whatnot</t>
        </is>
      </c>
      <c r="H665">
        <f>IFERROR(INDEX(Categories!$A$5:$A$93,MATCH(G665,Categories!$B$5:$B$93,0)),"")</f>
        <v/>
      </c>
      <c r="I665" s="9" t="inlineStr">
        <is>
          <t>H</t>
        </is>
      </c>
      <c r="J665" s="9" t="inlineStr"/>
    </row>
    <row r="666">
      <c r="A666" s="9" t="inlineStr">
        <is>
          <t>Checking ...0861</t>
        </is>
      </c>
      <c r="B666" s="29" t="n">
        <v>46181</v>
      </c>
      <c r="C666" s="9" t="inlineStr">
        <is>
          <t>WHATNOT WHATNOT.COM CA                       06/07</t>
        </is>
      </c>
      <c r="D666" s="10" t="n">
        <v>-10.88</v>
      </c>
      <c r="E666" s="9" t="inlineStr">
        <is>
          <t>DEBIT_CARD</t>
        </is>
      </c>
      <c r="F666" s="10" t="n">
        <v>1909.46</v>
      </c>
      <c r="G666" s="9" t="inlineStr">
        <is>
          <t>Shop - Whatnot</t>
        </is>
      </c>
      <c r="H666">
        <f>IFERROR(INDEX(Categories!$A$5:$A$93,MATCH(G666,Categories!$B$5:$B$93,0)),"")</f>
        <v/>
      </c>
      <c r="I666" s="9" t="inlineStr">
        <is>
          <t>H</t>
        </is>
      </c>
      <c r="J666" s="9" t="inlineStr"/>
    </row>
    <row r="667">
      <c r="A667" s="9" t="inlineStr">
        <is>
          <t>Checking ...0861</t>
        </is>
      </c>
      <c r="B667" s="29" t="n">
        <v>46181</v>
      </c>
      <c r="C667" s="9" t="inlineStr">
        <is>
          <t>WHATNOT WHATNOT.COM CA                       06/07</t>
        </is>
      </c>
      <c r="D667" s="10" t="n">
        <v>-14.14</v>
      </c>
      <c r="E667" s="9" t="inlineStr">
        <is>
          <t>DEBIT_CARD</t>
        </is>
      </c>
      <c r="F667" s="10" t="n">
        <v>1920.34</v>
      </c>
      <c r="G667" s="9" t="inlineStr">
        <is>
          <t>Shop - Whatnot</t>
        </is>
      </c>
      <c r="H667">
        <f>IFERROR(INDEX(Categories!$A$5:$A$93,MATCH(G667,Categories!$B$5:$B$93,0)),"")</f>
        <v/>
      </c>
      <c r="I667" s="9" t="inlineStr">
        <is>
          <t>H</t>
        </is>
      </c>
      <c r="J667" s="9" t="inlineStr"/>
    </row>
    <row r="668">
      <c r="A668" s="9" t="inlineStr">
        <is>
          <t>Checking ...0861</t>
        </is>
      </c>
      <c r="B668" s="29" t="n">
        <v>46181</v>
      </c>
      <c r="C668" s="9" t="inlineStr">
        <is>
          <t>WHATNOT WHATNOT.COM CA                       06/07</t>
        </is>
      </c>
      <c r="D668" s="10" t="n">
        <v>-17.4</v>
      </c>
      <c r="E668" s="9" t="inlineStr">
        <is>
          <t>DEBIT_CARD</t>
        </is>
      </c>
      <c r="F668" s="10" t="n">
        <v>1934.48</v>
      </c>
      <c r="G668" s="9" t="inlineStr">
        <is>
          <t>Shop - Whatnot</t>
        </is>
      </c>
      <c r="H668">
        <f>IFERROR(INDEX(Categories!$A$5:$A$93,MATCH(G668,Categories!$B$5:$B$93,0)),"")</f>
        <v/>
      </c>
      <c r="I668" s="9" t="inlineStr">
        <is>
          <t>H</t>
        </is>
      </c>
      <c r="J668" s="9" t="inlineStr"/>
    </row>
    <row r="669">
      <c r="A669" s="9" t="inlineStr">
        <is>
          <t>Checking ...0861</t>
        </is>
      </c>
      <c r="B669" s="29" t="n">
        <v>46181</v>
      </c>
      <c r="C669" s="9" t="inlineStr">
        <is>
          <t>WHATNOT WHATNOT.COM CA                       06/07</t>
        </is>
      </c>
      <c r="D669" s="10" t="n">
        <v>-8.699999999999999</v>
      </c>
      <c r="E669" s="9" t="inlineStr">
        <is>
          <t>DEBIT_CARD</t>
        </is>
      </c>
      <c r="F669" s="10" t="n">
        <v>1951.88</v>
      </c>
      <c r="G669" s="9" t="inlineStr">
        <is>
          <t>Shop - Whatnot</t>
        </is>
      </c>
      <c r="H669">
        <f>IFERROR(INDEX(Categories!$A$5:$A$93,MATCH(G669,Categories!$B$5:$B$93,0)),"")</f>
        <v/>
      </c>
      <c r="I669" s="9" t="inlineStr">
        <is>
          <t>H</t>
        </is>
      </c>
      <c r="J669" s="9" t="inlineStr"/>
    </row>
    <row r="670">
      <c r="A670" s="9" t="inlineStr">
        <is>
          <t>Checking ...0861</t>
        </is>
      </c>
      <c r="B670" s="29" t="n">
        <v>46181</v>
      </c>
      <c r="C670" s="9" t="inlineStr">
        <is>
          <t>WHATNOT WHATNOT.COM CA                       06/07</t>
        </is>
      </c>
      <c r="D670" s="10" t="n">
        <v>-8.699999999999999</v>
      </c>
      <c r="E670" s="9" t="inlineStr">
        <is>
          <t>DEBIT_CARD</t>
        </is>
      </c>
      <c r="F670" s="10" t="n">
        <v>1960.58</v>
      </c>
      <c r="G670" s="9" t="inlineStr">
        <is>
          <t>Shop - Whatnot</t>
        </is>
      </c>
      <c r="H670">
        <f>IFERROR(INDEX(Categories!$A$5:$A$93,MATCH(G670,Categories!$B$5:$B$93,0)),"")</f>
        <v/>
      </c>
      <c r="I670" s="9" t="inlineStr">
        <is>
          <t>H</t>
        </is>
      </c>
      <c r="J670" s="9" t="inlineStr"/>
    </row>
    <row r="671">
      <c r="A671" s="9" t="inlineStr">
        <is>
          <t>Checking ...0861</t>
        </is>
      </c>
      <c r="B671" s="29" t="n">
        <v>46181</v>
      </c>
      <c r="C671" s="9" t="inlineStr">
        <is>
          <t>WHATNOT WHATNOT.COM CA                       06/07</t>
        </is>
      </c>
      <c r="D671" s="10" t="n">
        <v>-10.18</v>
      </c>
      <c r="E671" s="9" t="inlineStr">
        <is>
          <t>DEBIT_CARD</t>
        </is>
      </c>
      <c r="F671" s="10" t="n">
        <v>1969.28</v>
      </c>
      <c r="G671" s="9" t="inlineStr">
        <is>
          <t>Shop - Whatnot</t>
        </is>
      </c>
      <c r="H671">
        <f>IFERROR(INDEX(Categories!$A$5:$A$93,MATCH(G671,Categories!$B$5:$B$93,0)),"")</f>
        <v/>
      </c>
      <c r="I671" s="9" t="inlineStr">
        <is>
          <t>H</t>
        </is>
      </c>
      <c r="J671" s="9" t="inlineStr"/>
    </row>
    <row r="672">
      <c r="A672" s="9" t="inlineStr">
        <is>
          <t>Checking ...0861</t>
        </is>
      </c>
      <c r="B672" s="29" t="n">
        <v>46181</v>
      </c>
      <c r="C672" s="9" t="inlineStr">
        <is>
          <t>WHATNOT WHATNOT.COM CA                       06/07</t>
        </is>
      </c>
      <c r="D672" s="10" t="n">
        <v>-13.52</v>
      </c>
      <c r="E672" s="9" t="inlineStr">
        <is>
          <t>DEBIT_CARD</t>
        </is>
      </c>
      <c r="F672" s="10" t="n">
        <v>1979.46</v>
      </c>
      <c r="G672" s="9" t="inlineStr">
        <is>
          <t>Shop - Whatnot</t>
        </is>
      </c>
      <c r="H672">
        <f>IFERROR(INDEX(Categories!$A$5:$A$93,MATCH(G672,Categories!$B$5:$B$93,0)),"")</f>
        <v/>
      </c>
      <c r="I672" s="9" t="inlineStr">
        <is>
          <t>H</t>
        </is>
      </c>
      <c r="J672" s="9" t="inlineStr"/>
    </row>
    <row r="673">
      <c r="A673" s="9" t="inlineStr">
        <is>
          <t>Checking ...0861</t>
        </is>
      </c>
      <c r="B673" s="29" t="n">
        <v>46181</v>
      </c>
      <c r="C673" s="9" t="inlineStr">
        <is>
          <t>WHATNOT WHATNOT.COM CA                       06/07</t>
        </is>
      </c>
      <c r="D673" s="10" t="n">
        <v>-23.58</v>
      </c>
      <c r="E673" s="9" t="inlineStr">
        <is>
          <t>DEBIT_CARD</t>
        </is>
      </c>
      <c r="F673" s="10" t="n">
        <v>1992.98</v>
      </c>
      <c r="G673" s="9" t="inlineStr">
        <is>
          <t>Shop - Whatnot</t>
        </is>
      </c>
      <c r="H673">
        <f>IFERROR(INDEX(Categories!$A$5:$A$93,MATCH(G673,Categories!$B$5:$B$93,0)),"")</f>
        <v/>
      </c>
      <c r="I673" s="9" t="inlineStr">
        <is>
          <t>H</t>
        </is>
      </c>
      <c r="J673" s="9" t="inlineStr"/>
    </row>
    <row r="674">
      <c r="A674" s="9" t="inlineStr">
        <is>
          <t>Checking ...0861</t>
        </is>
      </c>
      <c r="B674" s="29" t="n">
        <v>46181</v>
      </c>
      <c r="C674" s="9" t="inlineStr">
        <is>
          <t>EXXON SALINAS MAIN INC SALINAS CA            06/07</t>
        </is>
      </c>
      <c r="D674" s="10" t="n">
        <v>-74.73999999999999</v>
      </c>
      <c r="E674" s="9" t="inlineStr">
        <is>
          <t>DEBIT_CARD</t>
        </is>
      </c>
      <c r="F674" s="10" t="n">
        <v>2016.56</v>
      </c>
      <c r="G674" s="9" t="inlineStr">
        <is>
          <t>Gas</t>
        </is>
      </c>
      <c r="H674">
        <f>IFERROR(INDEX(Categories!$A$5:$A$93,MATCH(G674,Categories!$B$5:$B$93,0)),"")</f>
        <v/>
      </c>
      <c r="I674" s="9" t="inlineStr">
        <is>
          <t>D</t>
        </is>
      </c>
      <c r="J674" s="9" t="inlineStr"/>
    </row>
    <row r="675">
      <c r="A675" s="9" t="inlineStr">
        <is>
          <t>Checking ...0861</t>
        </is>
      </c>
      <c r="B675" s="29" t="n">
        <v>46181</v>
      </c>
      <c r="C675" s="9" t="inlineStr">
        <is>
          <t>SALINAS MAIN IN SALINAS CA                   06/07</t>
        </is>
      </c>
      <c r="D675" s="10" t="n">
        <v>-8.720000000000001</v>
      </c>
      <c r="E675" s="9" t="inlineStr">
        <is>
          <t>DEBIT_CARD</t>
        </is>
      </c>
      <c r="F675" s="10" t="n">
        <v>2091.3</v>
      </c>
      <c r="G675" s="9" t="inlineStr">
        <is>
          <t>Food - Eat Out</t>
        </is>
      </c>
      <c r="H675">
        <f>IFERROR(INDEX(Categories!$A$5:$A$93,MATCH(G675,Categories!$B$5:$B$93,0)),"")</f>
        <v/>
      </c>
      <c r="I675" s="9" t="inlineStr">
        <is>
          <t>D</t>
        </is>
      </c>
      <c r="J675" s="9" t="inlineStr">
        <is>
          <t>Restaurant/fast-food - defaulted to Eat Out; move to Food - Ailynn/Chris/Misc if you know whose order it was</t>
        </is>
      </c>
    </row>
    <row r="676">
      <c r="A676" s="9" t="inlineStr">
        <is>
          <t>Checking ...0861</t>
        </is>
      </c>
      <c r="B676" s="29" t="n">
        <v>46181</v>
      </c>
      <c r="C676" s="9" t="inlineStr">
        <is>
          <t>Sendwave 844-9335122 MA                      06/07</t>
        </is>
      </c>
      <c r="D676" s="10" t="n">
        <v>-25.16</v>
      </c>
      <c r="E676" s="9" t="inlineStr">
        <is>
          <t>DEBIT_CARD</t>
        </is>
      </c>
      <c r="F676" s="10" t="n">
        <v>2100.02</v>
      </c>
      <c r="G676" s="9" t="inlineStr">
        <is>
          <t>Remittance - others</t>
        </is>
      </c>
      <c r="H676">
        <f>IFERROR(INDEX(Categories!$A$5:$A$93,MATCH(G676,Categories!$B$5:$B$93,0)),"")</f>
        <v/>
      </c>
      <c r="I676" s="9" t="inlineStr">
        <is>
          <t>R</t>
        </is>
      </c>
      <c r="J676" s="9" t="inlineStr">
        <is>
          <t>Remittance app transfer - recipient not shown; please tell me if this is Aron, Aron's tuition, or someone else</t>
        </is>
      </c>
    </row>
    <row r="677">
      <c r="A677" s="9" t="inlineStr">
        <is>
          <t>Checking ...0861</t>
        </is>
      </c>
      <c r="B677" s="29" t="n">
        <v>46181</v>
      </c>
      <c r="C677" s="9" t="inlineStr">
        <is>
          <t>GIV*FIRST PRESBY 831-4227811 CA              06/07</t>
        </is>
      </c>
      <c r="D677" s="10" t="n">
        <v>-20</v>
      </c>
      <c r="E677" s="9" t="inlineStr">
        <is>
          <t>DEBIT_CARD</t>
        </is>
      </c>
      <c r="F677" s="10" t="n">
        <v>2125.18</v>
      </c>
      <c r="G677" s="9" t="inlineStr">
        <is>
          <t>Others</t>
        </is>
      </c>
      <c r="H677">
        <f>IFERROR(INDEX(Categories!$A$5:$A$93,MATCH(G677,Categories!$B$5:$B$93,0)),"")</f>
        <v/>
      </c>
      <c r="I677" s="9" t="inlineStr">
        <is>
          <t>H</t>
        </is>
      </c>
      <c r="J677" s="9" t="inlineStr">
        <is>
          <t>Recurring $20 church/charitable giving - no matching category in your list, put under Others</t>
        </is>
      </c>
    </row>
    <row r="678">
      <c r="A678" s="9" t="inlineStr">
        <is>
          <t>Checking ...0861</t>
        </is>
      </c>
      <c r="B678" s="29" t="n">
        <v>46181</v>
      </c>
      <c r="C678" s="9" t="inlineStr">
        <is>
          <t>PAYPAL *PYPL PAYIN4 402-935-7733 CA          06/07</t>
        </is>
      </c>
      <c r="D678" s="10" t="n">
        <v>-68.04000000000001</v>
      </c>
      <c r="E678" s="9" t="inlineStr">
        <is>
          <t>DEBIT_CARD</t>
        </is>
      </c>
      <c r="F678" s="10" t="n">
        <v>2145.18</v>
      </c>
      <c r="G678" s="9" t="inlineStr">
        <is>
          <t>Paypal pay in 4</t>
        </is>
      </c>
      <c r="H678">
        <f>IFERROR(INDEX(Categories!$A$5:$A$93,MATCH(G678,Categories!$B$5:$B$93,0)),"")</f>
        <v/>
      </c>
      <c r="I678" s="9" t="inlineStr">
        <is>
          <t>H</t>
        </is>
      </c>
      <c r="J678" s="9" t="inlineStr"/>
    </row>
    <row r="679">
      <c r="A679" s="9" t="inlineStr">
        <is>
          <t>Checking ...0861</t>
        </is>
      </c>
      <c r="B679" s="29" t="n">
        <v>46181</v>
      </c>
      <c r="C679" s="9" t="inlineStr">
        <is>
          <t>CINEMARK 449 RSTBAR Salinas CA               06/07</t>
        </is>
      </c>
      <c r="D679" s="10" t="n">
        <v>-32.6</v>
      </c>
      <c r="E679" s="9" t="inlineStr">
        <is>
          <t>DEBIT_CARD</t>
        </is>
      </c>
      <c r="F679" s="10" t="n">
        <v>2213.22</v>
      </c>
      <c r="G679" s="9" t="inlineStr">
        <is>
          <t>Movie</t>
        </is>
      </c>
      <c r="H679">
        <f>IFERROR(INDEX(Categories!$A$5:$A$93,MATCH(G679,Categories!$B$5:$B$93,0)),"")</f>
        <v/>
      </c>
      <c r="I679" s="9" t="inlineStr">
        <is>
          <t>H</t>
        </is>
      </c>
      <c r="J679" s="9" t="inlineStr"/>
    </row>
    <row r="680">
      <c r="A680" s="9" t="inlineStr">
        <is>
          <t>Checking ...0861</t>
        </is>
      </c>
      <c r="B680" s="29" t="n">
        <v>46181</v>
      </c>
      <c r="C680" s="9" t="inlineStr">
        <is>
          <t>WHATNOT WHATNOT.COM CA                       06/07</t>
        </is>
      </c>
      <c r="D680" s="10" t="n">
        <v>-34.23</v>
      </c>
      <c r="E680" s="9" t="inlineStr">
        <is>
          <t>DEBIT_CARD</t>
        </is>
      </c>
      <c r="F680" s="10" t="n">
        <v>2245.82</v>
      </c>
      <c r="G680" s="9" t="inlineStr">
        <is>
          <t>Shop - Whatnot</t>
        </is>
      </c>
      <c r="H680">
        <f>IFERROR(INDEX(Categories!$A$5:$A$93,MATCH(G680,Categories!$B$5:$B$93,0)),"")</f>
        <v/>
      </c>
      <c r="I680" s="9" t="inlineStr">
        <is>
          <t>H</t>
        </is>
      </c>
      <c r="J680" s="9" t="inlineStr"/>
    </row>
    <row r="681">
      <c r="A681" s="9" t="inlineStr">
        <is>
          <t>Checking ...0861</t>
        </is>
      </c>
      <c r="B681" s="29" t="n">
        <v>46181</v>
      </c>
      <c r="C681" s="9" t="inlineStr">
        <is>
          <t>WHATNOT WHATNOT.COM CA                       06/06</t>
        </is>
      </c>
      <c r="D681" s="10" t="n">
        <v>-29.37</v>
      </c>
      <c r="E681" s="9" t="inlineStr">
        <is>
          <t>DEBIT_CARD</t>
        </is>
      </c>
      <c r="F681" s="10" t="n">
        <v>2280.05</v>
      </c>
      <c r="G681" s="9" t="inlineStr">
        <is>
          <t>Shop - Whatnot</t>
        </is>
      </c>
      <c r="H681">
        <f>IFERROR(INDEX(Categories!$A$5:$A$93,MATCH(G681,Categories!$B$5:$B$93,0)),"")</f>
        <v/>
      </c>
      <c r="I681" s="9" t="inlineStr">
        <is>
          <t>H</t>
        </is>
      </c>
      <c r="J681" s="9" t="inlineStr"/>
    </row>
    <row r="682">
      <c r="A682" s="9" t="inlineStr">
        <is>
          <t>Checking ...0861</t>
        </is>
      </c>
      <c r="B682" s="29" t="n">
        <v>46181</v>
      </c>
      <c r="C682" s="9" t="inlineStr">
        <is>
          <t>WHATNOT WHATNOT.COM CA                       06/06</t>
        </is>
      </c>
      <c r="D682" s="10" t="n">
        <v>-42.42</v>
      </c>
      <c r="E682" s="9" t="inlineStr">
        <is>
          <t>DEBIT_CARD</t>
        </is>
      </c>
      <c r="F682" s="10" t="n">
        <v>2309.42</v>
      </c>
      <c r="G682" s="9" t="inlineStr">
        <is>
          <t>Shop - Whatnot</t>
        </is>
      </c>
      <c r="H682">
        <f>IFERROR(INDEX(Categories!$A$5:$A$93,MATCH(G682,Categories!$B$5:$B$93,0)),"")</f>
        <v/>
      </c>
      <c r="I682" s="9" t="inlineStr">
        <is>
          <t>H</t>
        </is>
      </c>
      <c r="J682" s="9" t="inlineStr"/>
    </row>
    <row r="683">
      <c r="A683" s="9" t="inlineStr">
        <is>
          <t>Checking ...0861</t>
        </is>
      </c>
      <c r="B683" s="29" t="n">
        <v>46181</v>
      </c>
      <c r="C683" s="9" t="inlineStr">
        <is>
          <t>WHATNOT WHATNOT.COM CA                       06/06</t>
        </is>
      </c>
      <c r="D683" s="10" t="n">
        <v>-28.28</v>
      </c>
      <c r="E683" s="9" t="inlineStr">
        <is>
          <t>DEBIT_CARD</t>
        </is>
      </c>
      <c r="F683" s="10" t="n">
        <v>2351.84</v>
      </c>
      <c r="G683" s="9" t="inlineStr">
        <is>
          <t>Shop - Whatnot</t>
        </is>
      </c>
      <c r="H683">
        <f>IFERROR(INDEX(Categories!$A$5:$A$93,MATCH(G683,Categories!$B$5:$B$93,0)),"")</f>
        <v/>
      </c>
      <c r="I683" s="9" t="inlineStr">
        <is>
          <t>H</t>
        </is>
      </c>
      <c r="J683" s="9" t="inlineStr"/>
    </row>
    <row r="684">
      <c r="A684" s="9" t="inlineStr">
        <is>
          <t>Checking ...0861</t>
        </is>
      </c>
      <c r="B684" s="29" t="n">
        <v>46181</v>
      </c>
      <c r="C684" s="9" t="inlineStr">
        <is>
          <t>HABIT SALINAS 306 SALINAS CA                 06/05</t>
        </is>
      </c>
      <c r="D684" s="10" t="n">
        <v>-55.01</v>
      </c>
      <c r="E684" s="9" t="inlineStr">
        <is>
          <t>DEBIT_CARD</t>
        </is>
      </c>
      <c r="F684" s="10" t="n">
        <v>2380.12</v>
      </c>
      <c r="G684" s="9" t="inlineStr">
        <is>
          <t>Food - Eat Out</t>
        </is>
      </c>
      <c r="H684">
        <f>IFERROR(INDEX(Categories!$A$5:$A$93,MATCH(G684,Categories!$B$5:$B$93,0)),"")</f>
        <v/>
      </c>
      <c r="I684" s="9" t="inlineStr">
        <is>
          <t>D</t>
        </is>
      </c>
      <c r="J684" s="9" t="inlineStr">
        <is>
          <t>Restaurant/fast-food - defaulted to Eat Out; move to Food - Ailynn/Chris/Misc if you know whose order it was</t>
        </is>
      </c>
    </row>
    <row r="685">
      <c r="A685" s="9" t="inlineStr">
        <is>
          <t>Checking ...0861</t>
        </is>
      </c>
      <c r="B685" s="29" t="n">
        <v>46181</v>
      </c>
      <c r="C685" s="9" t="inlineStr">
        <is>
          <t>WHATNOT WHATNOT.COM CA                       06/05</t>
        </is>
      </c>
      <c r="D685" s="10" t="n">
        <v>-44.24</v>
      </c>
      <c r="E685" s="9" t="inlineStr">
        <is>
          <t>DEBIT_CARD</t>
        </is>
      </c>
      <c r="F685" s="10" t="n">
        <v>2435.13</v>
      </c>
      <c r="G685" s="9" t="inlineStr">
        <is>
          <t>Shop - Whatnot</t>
        </is>
      </c>
      <c r="H685">
        <f>IFERROR(INDEX(Categories!$A$5:$A$93,MATCH(G685,Categories!$B$5:$B$93,0)),"")</f>
        <v/>
      </c>
      <c r="I685" s="9" t="inlineStr">
        <is>
          <t>H</t>
        </is>
      </c>
      <c r="J685" s="9" t="inlineStr"/>
    </row>
    <row r="686">
      <c r="A686" s="9" t="inlineStr">
        <is>
          <t>Checking ...0861</t>
        </is>
      </c>
      <c r="B686" s="29" t="n">
        <v>46178</v>
      </c>
      <c r="C686" s="9" t="inlineStr">
        <is>
          <t>PAYPAL           TRANSFER   ADD TO BALANCE  WEB ID: PAYPALSD22</t>
        </is>
      </c>
      <c r="D686" s="10" t="n">
        <v>-50</v>
      </c>
      <c r="E686" s="9" t="inlineStr">
        <is>
          <t>ACH_DEBIT</t>
        </is>
      </c>
      <c r="F686" s="10" t="n">
        <v>2479.37</v>
      </c>
      <c r="G686" s="9" t="inlineStr">
        <is>
          <t>Transfer - Checking to PayPal</t>
        </is>
      </c>
      <c r="H686">
        <f>IFERROR(INDEX(Categories!$A$5:$A$93,MATCH(G686,Categories!$B$5:$B$93,0)),"")</f>
        <v/>
      </c>
      <c r="I686" s="9" t="inlineStr">
        <is>
          <t>H</t>
        </is>
      </c>
      <c r="J686" s="9" t="inlineStr"/>
    </row>
    <row r="687">
      <c r="A687" s="9" t="inlineStr">
        <is>
          <t>Checking ...0861</t>
        </is>
      </c>
      <c r="B687" s="29" t="n">
        <v>46178</v>
      </c>
      <c r="C687" s="9" t="inlineStr">
        <is>
          <t>WF               PAYMENT    39145073        WEB ID: 1272814169</t>
        </is>
      </c>
      <c r="D687" s="10" t="n">
        <v>-223.53</v>
      </c>
      <c r="E687" s="9" t="inlineStr">
        <is>
          <t>ACH_DEBIT</t>
        </is>
      </c>
      <c r="F687" s="10" t="n">
        <v>2529.37</v>
      </c>
      <c r="G687" s="9" t="inlineStr">
        <is>
          <t>Auto Loan - Honda</t>
        </is>
      </c>
      <c r="H687">
        <f>IFERROR(INDEX(Categories!$A$5:$A$93,MATCH(G687,Categories!$B$5:$B$93,0)),"")</f>
        <v/>
      </c>
      <c r="I687" s="9" t="inlineStr">
        <is>
          <t>R</t>
        </is>
      </c>
      <c r="J687" s="9" t="inlineStr">
        <is>
          <t>Same $ amounts as the Westlake payments below/above - looks like the same auto loan, formerly serviced by 'WF'. Please confirm</t>
        </is>
      </c>
    </row>
    <row r="688">
      <c r="A688" s="9" t="inlineStr">
        <is>
          <t>Checking ...0861</t>
        </is>
      </c>
      <c r="B688" s="29" t="n">
        <v>46178</v>
      </c>
      <c r="C688" s="9" t="inlineStr">
        <is>
          <t>WF               PAYMENT    39145073        WEB ID: 1272814169</t>
        </is>
      </c>
      <c r="D688" s="10" t="n">
        <v>-276.47</v>
      </c>
      <c r="E688" s="9" t="inlineStr">
        <is>
          <t>ACH_DEBIT</t>
        </is>
      </c>
      <c r="F688" s="10" t="n">
        <v>2752.9</v>
      </c>
      <c r="G688" s="9" t="inlineStr">
        <is>
          <t>Auto Loan - Honda</t>
        </is>
      </c>
      <c r="H688">
        <f>IFERROR(INDEX(Categories!$A$5:$A$93,MATCH(G688,Categories!$B$5:$B$93,0)),"")</f>
        <v/>
      </c>
      <c r="I688" s="9" t="inlineStr">
        <is>
          <t>R</t>
        </is>
      </c>
      <c r="J688" s="9" t="inlineStr">
        <is>
          <t>Same $ amounts as the Westlake payments below/above - looks like the same auto loan, formerly serviced by 'WF'. Please confirm</t>
        </is>
      </c>
    </row>
    <row r="689">
      <c r="A689" s="9" t="inlineStr">
        <is>
          <t>Checking ...0861</t>
        </is>
      </c>
      <c r="B689" s="29" t="n">
        <v>46178</v>
      </c>
      <c r="C689" s="9" t="inlineStr">
        <is>
          <t>CHECK 356  06/05</t>
        </is>
      </c>
      <c r="D689" s="10" t="n">
        <v>-2200</v>
      </c>
      <c r="E689" s="9" t="inlineStr">
        <is>
          <t>CHECK_PAID</t>
        </is>
      </c>
      <c r="F689" s="10" t="n">
        <v>3029.37</v>
      </c>
      <c r="G689" s="9" t="inlineStr">
        <is>
          <t>Others</t>
        </is>
      </c>
      <c r="H689">
        <f>IFERROR(INDEX(Categories!$A$5:$A$93,MATCH(G689,Categories!$B$5:$B$93,0)),"")</f>
        <v/>
      </c>
      <c r="I689" s="9" t="inlineStr">
        <is>
          <t>R</t>
        </is>
      </c>
      <c r="J689" s="9" t="inlineStr">
        <is>
          <t>Paper check - payee not shown on the statement; please tell me who checks were written to</t>
        </is>
      </c>
    </row>
    <row r="690">
      <c r="A690" s="9" t="inlineStr">
        <is>
          <t>Checking ...0861</t>
        </is>
      </c>
      <c r="B690" s="29" t="n">
        <v>46178</v>
      </c>
      <c r="C690" s="9" t="inlineStr">
        <is>
          <t>Online Transfer to  SAV ...5953 transaction#: 29400713677</t>
        </is>
      </c>
      <c r="D690" s="10" t="n">
        <v>-25</v>
      </c>
      <c r="E690" s="9" t="inlineStr">
        <is>
          <t>ACCT_XFER</t>
        </is>
      </c>
      <c r="F690" s="10" t="n">
        <v>5229.37</v>
      </c>
      <c r="G690" s="9" t="inlineStr">
        <is>
          <t>Transfer - Checking to Savings</t>
        </is>
      </c>
      <c r="H690">
        <f>IFERROR(INDEX(Categories!$A$5:$A$93,MATCH(G690,Categories!$B$5:$B$93,0)),"")</f>
        <v/>
      </c>
      <c r="I690" s="9" t="inlineStr">
        <is>
          <t>H</t>
        </is>
      </c>
      <c r="J690" s="9" t="inlineStr"/>
    </row>
    <row r="691">
      <c r="A691" s="9" t="inlineStr">
        <is>
          <t>Checking ...0861</t>
        </is>
      </c>
      <c r="B691" s="29" t="n">
        <v>46178</v>
      </c>
      <c r="C691" s="9" t="inlineStr">
        <is>
          <t>AMAZON PRIME*WT8EG59 Amzn.com/bill WA        06/05</t>
        </is>
      </c>
      <c r="D691" s="10" t="n">
        <v>-16.3</v>
      </c>
      <c r="E691" s="9" t="inlineStr">
        <is>
          <t>DEBIT_CARD</t>
        </is>
      </c>
      <c r="F691" s="10" t="n">
        <v>5254.37</v>
      </c>
      <c r="G691" s="9" t="inlineStr">
        <is>
          <t>Amazon Prime</t>
        </is>
      </c>
      <c r="H691">
        <f>IFERROR(INDEX(Categories!$A$5:$A$93,MATCH(G691,Categories!$B$5:$B$93,0)),"")</f>
        <v/>
      </c>
      <c r="I691" s="9" t="inlineStr">
        <is>
          <t>H</t>
        </is>
      </c>
      <c r="J691" s="9" t="inlineStr"/>
    </row>
    <row r="692">
      <c r="A692" s="9" t="inlineStr">
        <is>
          <t>Checking ...0861</t>
        </is>
      </c>
      <c r="B692" s="29" t="n">
        <v>46178</v>
      </c>
      <c r="C692" s="9" t="inlineStr">
        <is>
          <t>THE UPS STORE 7054 831-7899400 CA            06/04</t>
        </is>
      </c>
      <c r="D692" s="10" t="n">
        <v>-16.01</v>
      </c>
      <c r="E692" s="9" t="inlineStr">
        <is>
          <t>DEBIT_CARD</t>
        </is>
      </c>
      <c r="F692" s="10" t="n">
        <v>5270.67</v>
      </c>
      <c r="G692" s="9" t="inlineStr">
        <is>
          <t>Others</t>
        </is>
      </c>
      <c r="H692">
        <f>IFERROR(INDEX(Categories!$A$5:$A$93,MATCH(G692,Categories!$B$5:$B$93,0)),"")</f>
        <v/>
      </c>
      <c r="I692" s="9" t="inlineStr">
        <is>
          <t>D</t>
        </is>
      </c>
      <c r="J692" s="9" t="inlineStr">
        <is>
          <t>Shipping/postal</t>
        </is>
      </c>
    </row>
    <row r="693">
      <c r="A693" s="9" t="inlineStr">
        <is>
          <t>Checking ...0861</t>
        </is>
      </c>
      <c r="B693" s="29" t="n">
        <v>46178</v>
      </c>
      <c r="C693" s="9" t="inlineStr">
        <is>
          <t>Primo Water Corporatio Vista CA              06/04</t>
        </is>
      </c>
      <c r="D693" s="10" t="n">
        <v>-3.1</v>
      </c>
      <c r="E693" s="9" t="inlineStr">
        <is>
          <t>DEBIT_CARD</t>
        </is>
      </c>
      <c r="F693" s="10" t="n">
        <v>5286.68</v>
      </c>
      <c r="G693" s="9" t="inlineStr">
        <is>
          <t>Water</t>
        </is>
      </c>
      <c r="H693">
        <f>IFERROR(INDEX(Categories!$A$5:$A$93,MATCH(G693,Categories!$B$5:$B$93,0)),"")</f>
        <v/>
      </c>
      <c r="I693" s="9" t="inlineStr">
        <is>
          <t>H</t>
        </is>
      </c>
      <c r="J693" s="9" t="inlineStr"/>
    </row>
    <row r="694">
      <c r="A694" s="9" t="inlineStr">
        <is>
          <t>Checking ...0861</t>
        </is>
      </c>
      <c r="B694" s="29" t="n">
        <v>46177</v>
      </c>
      <c r="C694" s="9" t="inlineStr">
        <is>
          <t>HARBOR FREIGHT TOOLS U SALINAS CA            06/04</t>
        </is>
      </c>
      <c r="D694" s="10" t="n">
        <v>-23.88</v>
      </c>
      <c r="E694" s="9" t="inlineStr">
        <is>
          <t>DEBIT_CARD</t>
        </is>
      </c>
      <c r="F694" s="10" t="n">
        <v>5289.78</v>
      </c>
      <c r="G694" s="9" t="inlineStr">
        <is>
          <t>Others</t>
        </is>
      </c>
      <c r="H694">
        <f>IFERROR(INDEX(Categories!$A$5:$A$93,MATCH(G694,Categories!$B$5:$B$93,0)),"")</f>
        <v/>
      </c>
      <c r="I694" s="9" t="inlineStr">
        <is>
          <t>D</t>
        </is>
      </c>
      <c r="J694" s="9" t="inlineStr">
        <is>
          <t>Home-improvement store - no matching category in your list</t>
        </is>
      </c>
    </row>
    <row r="695">
      <c r="A695" s="9" t="inlineStr">
        <is>
          <t>Checking ...0861</t>
        </is>
      </c>
      <c r="B695" s="29" t="n">
        <v>46177</v>
      </c>
      <c r="C695" s="9" t="inlineStr">
        <is>
          <t>CHECK 355</t>
        </is>
      </c>
      <c r="D695" s="10" t="n">
        <v>-180</v>
      </c>
      <c r="E695" s="9" t="inlineStr">
        <is>
          <t>CHECK_PAID</t>
        </is>
      </c>
      <c r="F695" s="10" t="n">
        <v>5313.66</v>
      </c>
      <c r="G695" s="9" t="inlineStr">
        <is>
          <t>Others</t>
        </is>
      </c>
      <c r="H695">
        <f>IFERROR(INDEX(Categories!$A$5:$A$93,MATCH(G695,Categories!$B$5:$B$93,0)),"")</f>
        <v/>
      </c>
      <c r="I695" s="9" t="inlineStr">
        <is>
          <t>R</t>
        </is>
      </c>
      <c r="J695" s="9" t="inlineStr">
        <is>
          <t>Paper check - payee not shown on the statement; please tell me who checks were written to</t>
        </is>
      </c>
    </row>
    <row r="696">
      <c r="A696" s="9" t="inlineStr">
        <is>
          <t>Checking ...0861</t>
        </is>
      </c>
      <c r="B696" s="29" t="n">
        <v>46177</v>
      </c>
      <c r="C696" s="9" t="inlineStr">
        <is>
          <t>CALWATER SERVICE BILLPAY                    PPD ID: 0000000160</t>
        </is>
      </c>
      <c r="D696" s="10" t="n">
        <v>-45.96</v>
      </c>
      <c r="E696" s="9" t="inlineStr">
        <is>
          <t>ACH_DEBIT</t>
        </is>
      </c>
      <c r="F696" s="10" t="n">
        <v>5493.66</v>
      </c>
      <c r="G696" s="9" t="inlineStr">
        <is>
          <t>Cal Water</t>
        </is>
      </c>
      <c r="H696">
        <f>IFERROR(INDEX(Categories!$A$5:$A$93,MATCH(G696,Categories!$B$5:$B$93,0)),"")</f>
        <v/>
      </c>
      <c r="I696" s="9" t="inlineStr">
        <is>
          <t>H</t>
        </is>
      </c>
      <c r="J696" s="9" t="inlineStr"/>
    </row>
    <row r="697">
      <c r="A697" s="9" t="inlineStr">
        <is>
          <t>Checking ...0861</t>
        </is>
      </c>
      <c r="B697" s="29" t="n">
        <v>46177</v>
      </c>
      <c r="C697" s="9" t="inlineStr">
        <is>
          <t>WAL-MART #2458 SALINAS CA                    06/03</t>
        </is>
      </c>
      <c r="D697" s="10" t="n">
        <v>-38.75</v>
      </c>
      <c r="E697" s="9" t="inlineStr">
        <is>
          <t>DEBIT_CARD</t>
        </is>
      </c>
      <c r="F697" s="10" t="n">
        <v>5539.62</v>
      </c>
      <c r="G697" s="9" t="inlineStr">
        <is>
          <t>Groceries - Walmart</t>
        </is>
      </c>
      <c r="H697">
        <f>IFERROR(INDEX(Categories!$A$5:$A$93,MATCH(G697,Categories!$B$5:$B$93,0)),"")</f>
        <v/>
      </c>
      <c r="I697" s="9" t="inlineStr">
        <is>
          <t>H</t>
        </is>
      </c>
      <c r="J697" s="9" t="inlineStr"/>
    </row>
    <row r="698">
      <c r="A698" s="9" t="inlineStr">
        <is>
          <t>Checking ...0861</t>
        </is>
      </c>
      <c r="B698" s="29" t="n">
        <v>46177</v>
      </c>
      <c r="C698" s="9" t="inlineStr">
        <is>
          <t>Primo Water Corporatio Vista CA              06/04</t>
        </is>
      </c>
      <c r="D698" s="10" t="n">
        <v>-3.1</v>
      </c>
      <c r="E698" s="9" t="inlineStr">
        <is>
          <t>DEBIT_CARD</t>
        </is>
      </c>
      <c r="F698" s="10" t="n">
        <v>5578.37</v>
      </c>
      <c r="G698" s="9" t="inlineStr">
        <is>
          <t>Water</t>
        </is>
      </c>
      <c r="H698">
        <f>IFERROR(INDEX(Categories!$A$5:$A$93,MATCH(G698,Categories!$B$5:$B$93,0)),"")</f>
        <v/>
      </c>
      <c r="I698" s="9" t="inlineStr">
        <is>
          <t>H</t>
        </is>
      </c>
      <c r="J698" s="9" t="inlineStr"/>
    </row>
    <row r="699">
      <c r="A699" s="9" t="inlineStr">
        <is>
          <t>Checking ...0861</t>
        </is>
      </c>
      <c r="B699" s="29" t="n">
        <v>46177</v>
      </c>
      <c r="C699" s="9" t="inlineStr">
        <is>
          <t>TST*BETTY BURGER-APTOS Aptos CA              06/03</t>
        </is>
      </c>
      <c r="D699" s="10" t="n">
        <v>-39.83</v>
      </c>
      <c r="E699" s="9" t="inlineStr">
        <is>
          <t>DEBIT_CARD</t>
        </is>
      </c>
      <c r="F699" s="10" t="n">
        <v>5581.47</v>
      </c>
      <c r="G699" s="9" t="inlineStr">
        <is>
          <t>Food - Eat Out</t>
        </is>
      </c>
      <c r="H699">
        <f>IFERROR(INDEX(Categories!$A$5:$A$93,MATCH(G699,Categories!$B$5:$B$93,0)),"")</f>
        <v/>
      </c>
      <c r="I699" s="9" t="inlineStr">
        <is>
          <t>D</t>
        </is>
      </c>
      <c r="J699" s="9" t="inlineStr">
        <is>
          <t>Restaurant/fast-food - defaulted to Eat Out; move to Food - Ailynn/Chris/Misc if you know whose order it was</t>
        </is>
      </c>
    </row>
    <row r="700">
      <c r="A700" s="9" t="inlineStr">
        <is>
          <t>Checking ...0861</t>
        </is>
      </c>
      <c r="B700" s="29" t="n">
        <v>46177</v>
      </c>
      <c r="C700" s="9" t="inlineStr">
        <is>
          <t>UNITED PARCEL SE DV02DD2606                 PPD ID: 2431912740</t>
        </is>
      </c>
      <c r="D700" s="10" t="n">
        <v>131.17</v>
      </c>
      <c r="E700" s="9" t="inlineStr">
        <is>
          <t>ACH_CREDIT</t>
        </is>
      </c>
      <c r="F700" s="10" t="n">
        <v>5621.3</v>
      </c>
      <c r="G700" s="9" t="inlineStr">
        <is>
          <t>Others - Income</t>
        </is>
      </c>
      <c r="H700">
        <f>IFERROR(INDEX(Categories!$A$5:$A$93,MATCH(G700,Categories!$B$5:$B$93,0)),"")</f>
        <v/>
      </c>
      <c r="I700" s="9" t="inlineStr">
        <is>
          <t>R</t>
        </is>
      </c>
      <c r="J700" s="9" t="inlineStr">
        <is>
          <t>UPS-related credit, not the regular payroll line</t>
        </is>
      </c>
    </row>
    <row r="701">
      <c r="A701" s="9" t="inlineStr">
        <is>
          <t>Checking ...0861</t>
        </is>
      </c>
      <c r="B701" s="29" t="n">
        <v>46177</v>
      </c>
      <c r="C701" s="9" t="inlineStr">
        <is>
          <t>Zelle payment from RHIAN ABIGAIL ALMO 29490487792</t>
        </is>
      </c>
      <c r="D701" s="10" t="n">
        <v>500</v>
      </c>
      <c r="E701" s="9" t="inlineStr">
        <is>
          <t>QUICKPAY_CREDIT</t>
        </is>
      </c>
      <c r="F701" s="10" t="n">
        <v>5490.13</v>
      </c>
      <c r="G701" s="9" t="inlineStr">
        <is>
          <t>Others - Income</t>
        </is>
      </c>
      <c r="H701">
        <f>IFERROR(INDEX(Categories!$A$5:$A$93,MATCH(G701,Categories!$B$5:$B$93,0)),"")</f>
        <v/>
      </c>
      <c r="I701" s="9" t="inlineStr">
        <is>
          <t>R</t>
        </is>
      </c>
      <c r="J701" s="9" t="inlineStr">
        <is>
          <t>Zelle received - please tell me who this person is so I can map them to a category</t>
        </is>
      </c>
    </row>
    <row r="702">
      <c r="A702" s="9" t="inlineStr">
        <is>
          <t>Checking ...0861</t>
        </is>
      </c>
      <c r="B702" s="29" t="n">
        <v>46176</v>
      </c>
      <c r="C702" s="9" t="inlineStr">
        <is>
          <t>SAV ON GASOLINE INC SANTA CRUZ CA    281374  06/03</t>
        </is>
      </c>
      <c r="D702" s="10" t="n">
        <v>-3.83</v>
      </c>
      <c r="E702" s="9" t="inlineStr">
        <is>
          <t>DEBIT_CARD</t>
        </is>
      </c>
      <c r="F702" s="10" t="n">
        <v>4990.13</v>
      </c>
      <c r="G702" s="9" t="inlineStr">
        <is>
          <t>Gas</t>
        </is>
      </c>
      <c r="H702">
        <f>IFERROR(INDEX(Categories!$A$5:$A$93,MATCH(G702,Categories!$B$5:$B$93,0)),"")</f>
        <v/>
      </c>
      <c r="I702" s="9" t="inlineStr">
        <is>
          <t>D</t>
        </is>
      </c>
      <c r="J702" s="9" t="inlineStr"/>
    </row>
    <row r="703">
      <c r="A703" s="9" t="inlineStr">
        <is>
          <t>Checking ...0861</t>
        </is>
      </c>
      <c r="B703" s="29" t="n">
        <v>46176</v>
      </c>
      <c r="C703" s="9" t="inlineStr">
        <is>
          <t>PAYPAL           TRANSFER   ADD TO BALANCE  WEB ID: PAYPALSD22</t>
        </is>
      </c>
      <c r="D703" s="10" t="n">
        <v>-10000</v>
      </c>
      <c r="E703" s="9" t="inlineStr">
        <is>
          <t>ACH_DEBIT</t>
        </is>
      </c>
      <c r="F703" s="10" t="n">
        <v>4993.96</v>
      </c>
      <c r="G703" s="9" t="inlineStr">
        <is>
          <t>Transfer - Checking to PayPal</t>
        </is>
      </c>
      <c r="H703">
        <f>IFERROR(INDEX(Categories!$A$5:$A$93,MATCH(G703,Categories!$B$5:$B$93,0)),"")</f>
        <v/>
      </c>
      <c r="I703" s="9" t="inlineStr">
        <is>
          <t>H</t>
        </is>
      </c>
      <c r="J703" s="9" t="inlineStr"/>
    </row>
    <row r="704">
      <c r="A704" s="9" t="inlineStr">
        <is>
          <t>Checking ...0861</t>
        </is>
      </c>
      <c r="B704" s="29" t="n">
        <v>46176</v>
      </c>
      <c r="C704" s="9" t="inlineStr">
        <is>
          <t>PREMIER BANKCARD AUTOPAY    G     338816433 WEB ID: 2470535472</t>
        </is>
      </c>
      <c r="D704" s="10" t="n">
        <v>-6.31</v>
      </c>
      <c r="E704" s="9" t="inlineStr">
        <is>
          <t>ACH_DEBIT</t>
        </is>
      </c>
      <c r="F704" s="10" t="n">
        <v>14993.96</v>
      </c>
      <c r="G704" s="9" t="inlineStr">
        <is>
          <t>CC - FPB</t>
        </is>
      </c>
      <c r="H704">
        <f>IFERROR(INDEX(Categories!$A$5:$A$93,MATCH(G704,Categories!$B$5:$B$93,0)),"")</f>
        <v/>
      </c>
      <c r="I704" s="9" t="inlineStr">
        <is>
          <t>H</t>
        </is>
      </c>
      <c r="J704" s="9" t="inlineStr"/>
    </row>
    <row r="705">
      <c r="A705" s="9" t="inlineStr">
        <is>
          <t>Checking ...0861</t>
        </is>
      </c>
      <c r="B705" s="29" t="n">
        <v>46176</v>
      </c>
      <c r="C705" s="9" t="inlineStr">
        <is>
          <t>NESPRESSO USA INC Wilmington DE              06/03</t>
        </is>
      </c>
      <c r="D705" s="10" t="n">
        <v>-55.15</v>
      </c>
      <c r="E705" s="9" t="inlineStr">
        <is>
          <t>DEBIT_CARD</t>
        </is>
      </c>
      <c r="F705" s="10" t="n">
        <v>15000.27</v>
      </c>
      <c r="G705" s="9" t="inlineStr">
        <is>
          <t>Shop - Others</t>
        </is>
      </c>
      <c r="H705">
        <f>IFERROR(INDEX(Categories!$A$5:$A$93,MATCH(G705,Categories!$B$5:$B$93,0)),"")</f>
        <v/>
      </c>
      <c r="I705" s="9" t="inlineStr">
        <is>
          <t>D</t>
        </is>
      </c>
      <c r="J705" s="9" t="inlineStr"/>
    </row>
    <row r="706">
      <c r="A706" s="9" t="inlineStr">
        <is>
          <t>Checking ...0861</t>
        </is>
      </c>
      <c r="B706" s="29" t="n">
        <v>46176</v>
      </c>
      <c r="C706" s="9" t="inlineStr">
        <is>
          <t>Online Transfer to SAV ...5953 transaction#: 29469458686 06/03</t>
        </is>
      </c>
      <c r="D706" s="10" t="n">
        <v>-29619.48</v>
      </c>
      <c r="E706" s="9" t="inlineStr">
        <is>
          <t>ACCT_XFER</t>
        </is>
      </c>
      <c r="F706" s="10" t="n">
        <v>15055.42</v>
      </c>
      <c r="G706" s="9" t="inlineStr">
        <is>
          <t>Transfer - Checking to Savings</t>
        </is>
      </c>
      <c r="H706">
        <f>IFERROR(INDEX(Categories!$A$5:$A$93,MATCH(G706,Categories!$B$5:$B$93,0)),"")</f>
        <v/>
      </c>
      <c r="I706" s="9" t="inlineStr">
        <is>
          <t>H</t>
        </is>
      </c>
      <c r="J706" s="9" t="inlineStr"/>
    </row>
    <row r="707">
      <c r="A707" s="9" t="inlineStr">
        <is>
          <t>Checking ...0861</t>
        </is>
      </c>
      <c r="B707" s="29" t="n">
        <v>46176</v>
      </c>
      <c r="C707" s="9" t="inlineStr">
        <is>
          <t>FOSTERS FREEZE #1500 SALINAS CA              06/02</t>
        </is>
      </c>
      <c r="D707" s="10" t="n">
        <v>-8.470000000000001</v>
      </c>
      <c r="E707" s="9" t="inlineStr">
        <is>
          <t>DEBIT_CARD</t>
        </is>
      </c>
      <c r="F707" s="10" t="n">
        <v>44674.9</v>
      </c>
      <c r="G707" s="9" t="inlineStr">
        <is>
          <t>Food - Eat Out</t>
        </is>
      </c>
      <c r="H707">
        <f>IFERROR(INDEX(Categories!$A$5:$A$93,MATCH(G707,Categories!$B$5:$B$93,0)),"")</f>
        <v/>
      </c>
      <c r="I707" s="9" t="inlineStr">
        <is>
          <t>D</t>
        </is>
      </c>
      <c r="J707" s="9" t="inlineStr">
        <is>
          <t>Restaurant/fast-food - defaulted to Eat Out; move to Food - Ailynn/Chris/Misc if you know whose order it was</t>
        </is>
      </c>
    </row>
    <row r="708">
      <c r="A708" s="9" t="inlineStr">
        <is>
          <t>Checking ...0861</t>
        </is>
      </c>
      <c r="B708" s="29" t="n">
        <v>46176</v>
      </c>
      <c r="C708" s="9" t="inlineStr">
        <is>
          <t>CHIPOTLE 1864 SALINAS CA                     06/02</t>
        </is>
      </c>
      <c r="D708" s="10" t="n">
        <v>-34.48</v>
      </c>
      <c r="E708" s="9" t="inlineStr">
        <is>
          <t>DEBIT_CARD</t>
        </is>
      </c>
      <c r="F708" s="10" t="n">
        <v>44683.37</v>
      </c>
      <c r="G708" s="9" t="inlineStr">
        <is>
          <t>Food - Eat Out</t>
        </is>
      </c>
      <c r="H708">
        <f>IFERROR(INDEX(Categories!$A$5:$A$93,MATCH(G708,Categories!$B$5:$B$93,0)),"")</f>
        <v/>
      </c>
      <c r="I708" s="9" t="inlineStr">
        <is>
          <t>D</t>
        </is>
      </c>
      <c r="J708" s="9" t="inlineStr">
        <is>
          <t>Restaurant/fast-food - defaulted to Eat Out; move to Food - Ailynn/Chris/Misc if you know whose order it was</t>
        </is>
      </c>
    </row>
    <row r="709">
      <c r="A709" s="9" t="inlineStr">
        <is>
          <t>Checking ...0861</t>
        </is>
      </c>
      <c r="B709" s="29" t="n">
        <v>46176</v>
      </c>
      <c r="C709" s="9" t="inlineStr">
        <is>
          <t>WHATNOT WHATNOT.COM CA                       06/02</t>
        </is>
      </c>
      <c r="D709" s="10" t="n">
        <v>-55.12</v>
      </c>
      <c r="E709" s="9" t="inlineStr">
        <is>
          <t>DEBIT_CARD</t>
        </is>
      </c>
      <c r="F709" s="10" t="n">
        <v>44717.85</v>
      </c>
      <c r="G709" s="9" t="inlineStr">
        <is>
          <t>Shop - Whatnot</t>
        </is>
      </c>
      <c r="H709">
        <f>IFERROR(INDEX(Categories!$A$5:$A$93,MATCH(G709,Categories!$B$5:$B$93,0)),"")</f>
        <v/>
      </c>
      <c r="I709" s="9" t="inlineStr">
        <is>
          <t>H</t>
        </is>
      </c>
      <c r="J709" s="9" t="inlineStr"/>
    </row>
    <row r="710">
      <c r="A710" s="9" t="inlineStr">
        <is>
          <t>Checking ...0861</t>
        </is>
      </c>
      <c r="B710" s="29" t="n">
        <v>46176</v>
      </c>
      <c r="C710" s="9" t="inlineStr">
        <is>
          <t>PAYPAL           TRANSFER                   PPD ID: PAYPALSD11</t>
        </is>
      </c>
      <c r="D710" s="10" t="n">
        <v>1828</v>
      </c>
      <c r="E710" s="9" t="inlineStr">
        <is>
          <t>ACH_CREDIT</t>
        </is>
      </c>
      <c r="F710" s="10" t="n">
        <v>44772.97</v>
      </c>
      <c r="G710" s="9" t="inlineStr">
        <is>
          <t>Transfer - PayPal to Checking</t>
        </is>
      </c>
      <c r="H710">
        <f>IFERROR(INDEX(Categories!$A$5:$A$93,MATCH(G710,Categories!$B$5:$B$93,0)),"")</f>
        <v/>
      </c>
      <c r="I710" s="9" t="inlineStr">
        <is>
          <t>H</t>
        </is>
      </c>
      <c r="J710" s="9" t="inlineStr"/>
    </row>
    <row r="711">
      <c r="A711" s="9" t="inlineStr">
        <is>
          <t>Checking ...0861</t>
        </is>
      </c>
      <c r="B711" s="29" t="n">
        <v>46175</v>
      </c>
      <c r="C711" s="9" t="inlineStr">
        <is>
          <t>WAL-MART #5751 SALINAS CA                    06/02</t>
        </is>
      </c>
      <c r="D711" s="10" t="n">
        <v>-260.27</v>
      </c>
      <c r="E711" s="9" t="inlineStr">
        <is>
          <t>DEBIT_CARD</t>
        </is>
      </c>
      <c r="F711" s="10" t="n">
        <v>42944.97</v>
      </c>
      <c r="G711" s="9" t="inlineStr">
        <is>
          <t>Groceries - Walmart</t>
        </is>
      </c>
      <c r="H711">
        <f>IFERROR(INDEX(Categories!$A$5:$A$93,MATCH(G711,Categories!$B$5:$B$93,0)),"")</f>
        <v/>
      </c>
      <c r="I711" s="9" t="inlineStr">
        <is>
          <t>H</t>
        </is>
      </c>
      <c r="J711" s="9" t="inlineStr"/>
    </row>
    <row r="712">
      <c r="A712" s="9" t="inlineStr">
        <is>
          <t>Checking ...0861</t>
        </is>
      </c>
      <c r="B712" s="29" t="n">
        <v>46175</v>
      </c>
      <c r="C712" s="9" t="inlineStr">
        <is>
          <t>WINGSTOP 2088 650-019-7954 CA                06/01</t>
        </is>
      </c>
      <c r="D712" s="10" t="n">
        <v>-41.89</v>
      </c>
      <c r="E712" s="9" t="inlineStr">
        <is>
          <t>DEBIT_CARD</t>
        </is>
      </c>
      <c r="F712" s="10" t="n">
        <v>43205.24</v>
      </c>
      <c r="G712" s="9" t="inlineStr">
        <is>
          <t>Food - Eat Out</t>
        </is>
      </c>
      <c r="H712">
        <f>IFERROR(INDEX(Categories!$A$5:$A$93,MATCH(G712,Categories!$B$5:$B$93,0)),"")</f>
        <v/>
      </c>
      <c r="I712" s="9" t="inlineStr">
        <is>
          <t>D</t>
        </is>
      </c>
      <c r="J712" s="9" t="inlineStr">
        <is>
          <t>Restaurant/fast-food - defaulted to Eat Out; move to Food - Ailynn/Chris/Misc if you know whose order it was</t>
        </is>
      </c>
    </row>
    <row r="713">
      <c r="A713" s="9" t="inlineStr">
        <is>
          <t>Checking ...0861</t>
        </is>
      </c>
      <c r="B713" s="29" t="n">
        <v>46175</v>
      </c>
      <c r="C713" s="9" t="inlineStr">
        <is>
          <t>Primo Water Corporatio Vista CA              06/02</t>
        </is>
      </c>
      <c r="D713" s="10" t="n">
        <v>-3.1</v>
      </c>
      <c r="E713" s="9" t="inlineStr">
        <is>
          <t>DEBIT_CARD</t>
        </is>
      </c>
      <c r="F713" s="10" t="n">
        <v>43247.13</v>
      </c>
      <c r="G713" s="9" t="inlineStr">
        <is>
          <t>Water</t>
        </is>
      </c>
      <c r="H713">
        <f>IFERROR(INDEX(Categories!$A$5:$A$93,MATCH(G713,Categories!$B$5:$B$93,0)),"")</f>
        <v/>
      </c>
      <c r="I713" s="9" t="inlineStr">
        <is>
          <t>H</t>
        </is>
      </c>
      <c r="J713" s="9" t="inlineStr"/>
    </row>
    <row r="714">
      <c r="A714" s="9" t="inlineStr">
        <is>
          <t>Checking ...0861</t>
        </is>
      </c>
      <c r="B714" s="29" t="n">
        <v>46175</v>
      </c>
      <c r="C714" s="9" t="inlineStr">
        <is>
          <t>AFFIRM * PAY 1T774D99 855-423-3729 CA        06/01</t>
        </is>
      </c>
      <c r="D714" s="10" t="n">
        <v>-33.07</v>
      </c>
      <c r="E714" s="9" t="inlineStr">
        <is>
          <t>DEBIT_CARD</t>
        </is>
      </c>
      <c r="F714" s="10" t="n">
        <v>43250.23</v>
      </c>
      <c r="G714" s="9" t="inlineStr">
        <is>
          <t>Affirm</t>
        </is>
      </c>
      <c r="H714">
        <f>IFERROR(INDEX(Categories!$A$5:$A$93,MATCH(G714,Categories!$B$5:$B$93,0)),"")</f>
        <v/>
      </c>
      <c r="I714" s="9" t="inlineStr">
        <is>
          <t>H</t>
        </is>
      </c>
      <c r="J714" s="9" t="inlineStr"/>
    </row>
    <row r="715">
      <c r="A715" s="9" t="inlineStr">
        <is>
          <t>Checking ...0861</t>
        </is>
      </c>
      <c r="B715" s="29" t="n">
        <v>46174</v>
      </c>
      <c r="C715" s="9" t="inlineStr">
        <is>
          <t>CHECK 283</t>
        </is>
      </c>
      <c r="D715" s="10" t="n">
        <v>-500</v>
      </c>
      <c r="E715" s="9" t="inlineStr">
        <is>
          <t>CHECK_PAID</t>
        </is>
      </c>
      <c r="F715" s="10" t="n">
        <v>43283.3</v>
      </c>
      <c r="G715" s="9" t="inlineStr">
        <is>
          <t>Others</t>
        </is>
      </c>
      <c r="H715">
        <f>IFERROR(INDEX(Categories!$A$5:$A$93,MATCH(G715,Categories!$B$5:$B$93,0)),"")</f>
        <v/>
      </c>
      <c r="I715" s="9" t="inlineStr">
        <is>
          <t>R</t>
        </is>
      </c>
      <c r="J715" s="9" t="inlineStr">
        <is>
          <t>Paper check - payee not shown on the statement; please tell me who checks were written to</t>
        </is>
      </c>
    </row>
    <row r="716">
      <c r="A716" s="9" t="inlineStr">
        <is>
          <t>Checking ...0861</t>
        </is>
      </c>
      <c r="B716" s="29" t="n">
        <v>46174</v>
      </c>
      <c r="C716" s="9" t="inlineStr">
        <is>
          <t>EBAY COMMERCE INC. SAN JOSE CA               06/01</t>
        </is>
      </c>
      <c r="D716" s="10" t="n">
        <v>-28.11</v>
      </c>
      <c r="E716" s="9" t="inlineStr">
        <is>
          <t>DEBIT_CARD</t>
        </is>
      </c>
      <c r="F716" s="10" t="n">
        <v>43783.3</v>
      </c>
      <c r="G716" s="9" t="inlineStr">
        <is>
          <t>Shop - Others</t>
        </is>
      </c>
      <c r="H716">
        <f>IFERROR(INDEX(Categories!$A$5:$A$93,MATCH(G716,Categories!$B$5:$B$93,0)),"")</f>
        <v/>
      </c>
      <c r="I716" s="9" t="inlineStr">
        <is>
          <t>D</t>
        </is>
      </c>
      <c r="J716" s="9" t="inlineStr"/>
    </row>
    <row r="717">
      <c r="A717" s="9" t="inlineStr">
        <is>
          <t>Checking ...0861</t>
        </is>
      </c>
      <c r="B717" s="29" t="n">
        <v>46174</v>
      </c>
      <c r="C717" s="9" t="inlineStr">
        <is>
          <t>SMBS Account     TRANSFER   CPerez          WEB ID: 9039430511</t>
        </is>
      </c>
      <c r="D717" s="10" t="n">
        <v>-20000</v>
      </c>
      <c r="E717" s="9" t="inlineStr">
        <is>
          <t>ACH_DEBIT</t>
        </is>
      </c>
      <c r="F717" s="10" t="n">
        <v>43811.41</v>
      </c>
      <c r="G717" s="9" t="inlineStr">
        <is>
          <t>Transfer - Checking to SoFi/Other</t>
        </is>
      </c>
      <c r="H717">
        <f>IFERROR(INDEX(Categories!$A$5:$A$93,MATCH(G717,Categories!$B$5:$B$93,0)),"")</f>
        <v/>
      </c>
      <c r="I717" s="9" t="inlineStr">
        <is>
          <t>R</t>
        </is>
      </c>
      <c r="J717" s="9" t="inlineStr">
        <is>
          <t>Large transfer (thousands) to a SoFi/SMBS account - please confirm what this account is</t>
        </is>
      </c>
    </row>
    <row r="718">
      <c r="A718" s="9" t="inlineStr">
        <is>
          <t>Checking ...0861</t>
        </is>
      </c>
      <c r="B718" s="29" t="n">
        <v>46174</v>
      </c>
      <c r="C718" s="9" t="inlineStr">
        <is>
          <t>SP+AFF * JDMuscle - 1 855-423-3729 CA        06/01</t>
        </is>
      </c>
      <c r="D718" s="10" t="n">
        <v>-30.14</v>
      </c>
      <c r="E718" s="9" t="inlineStr">
        <is>
          <t>DEBIT_CARD</t>
        </is>
      </c>
      <c r="F718" s="10" t="n">
        <v>63811.41</v>
      </c>
      <c r="G718" s="9" t="inlineStr">
        <is>
          <t>Shop - Others</t>
        </is>
      </c>
      <c r="H718">
        <f>IFERROR(INDEX(Categories!$A$5:$A$93,MATCH(G718,Categories!$B$5:$B$93,0)),"")</f>
        <v/>
      </c>
      <c r="I718" s="9" t="inlineStr">
        <is>
          <t>R</t>
        </is>
      </c>
      <c r="J718" s="9" t="inlineStr">
        <is>
          <t>Small online-shop charge via an affiliate/Affirm-style processor - description doesn't name the actual store</t>
        </is>
      </c>
    </row>
    <row r="719">
      <c r="A719" s="9" t="inlineStr">
        <is>
          <t>Checking ...0861</t>
        </is>
      </c>
      <c r="B719" s="29" t="n">
        <v>46174</v>
      </c>
      <c r="C719" s="9" t="inlineStr">
        <is>
          <t>AFFIRM.COM PAYME AFFIRM.COM ST-S6G3X9R2E9K1 WEB ID: 1800948598</t>
        </is>
      </c>
      <c r="D719" s="10" t="n">
        <v>-33.27</v>
      </c>
      <c r="E719" s="9" t="inlineStr">
        <is>
          <t>ACH_DEBIT</t>
        </is>
      </c>
      <c r="F719" s="10" t="n">
        <v>63841.55</v>
      </c>
      <c r="G719" s="9" t="inlineStr">
        <is>
          <t>Affirm</t>
        </is>
      </c>
      <c r="H719">
        <f>IFERROR(INDEX(Categories!$A$5:$A$93,MATCH(G719,Categories!$B$5:$B$93,0)),"")</f>
        <v/>
      </c>
      <c r="I719" s="9" t="inlineStr">
        <is>
          <t>H</t>
        </is>
      </c>
      <c r="J719" s="9" t="inlineStr"/>
    </row>
    <row r="720">
      <c r="A720" s="9" t="inlineStr">
        <is>
          <t>Checking ...0861</t>
        </is>
      </c>
      <c r="B720" s="29" t="n">
        <v>46174</v>
      </c>
      <c r="C720" s="9" t="inlineStr">
        <is>
          <t>AMAZON MARKETPLA INTERNET   043000096031396 WEB ID: 9049016352</t>
        </is>
      </c>
      <c r="D720" s="10" t="n">
        <v>-20.65</v>
      </c>
      <c r="E720" s="9" t="inlineStr">
        <is>
          <t>ACH_DEBIT</t>
        </is>
      </c>
      <c r="F720" s="10" t="n">
        <v>63874.82</v>
      </c>
      <c r="G720" s="9" t="inlineStr">
        <is>
          <t>Shop - Amazon</t>
        </is>
      </c>
      <c r="H720">
        <f>IFERROR(INDEX(Categories!$A$5:$A$93,MATCH(G720,Categories!$B$5:$B$93,0)),"")</f>
        <v/>
      </c>
      <c r="I720" s="9" t="inlineStr">
        <is>
          <t>H</t>
        </is>
      </c>
      <c r="J720" s="9" t="inlineStr"/>
    </row>
    <row r="721">
      <c r="A721" s="9" t="inlineStr">
        <is>
          <t>Checking ...0861</t>
        </is>
      </c>
      <c r="B721" s="29" t="n">
        <v>46174</v>
      </c>
      <c r="C721" s="9" t="inlineStr">
        <is>
          <t>AMAZON MARKETPLA INTERNET   043000095906718 WEB ID: 9049016352</t>
        </is>
      </c>
      <c r="D721" s="10" t="n">
        <v>-28.7</v>
      </c>
      <c r="E721" s="9" t="inlineStr">
        <is>
          <t>ACH_DEBIT</t>
        </is>
      </c>
      <c r="F721" s="10" t="n">
        <v>63895.47</v>
      </c>
      <c r="G721" s="9" t="inlineStr">
        <is>
          <t>Shop - Amazon</t>
        </is>
      </c>
      <c r="H721">
        <f>IFERROR(INDEX(Categories!$A$5:$A$93,MATCH(G721,Categories!$B$5:$B$93,0)),"")</f>
        <v/>
      </c>
      <c r="I721" s="9" t="inlineStr">
        <is>
          <t>H</t>
        </is>
      </c>
      <c r="J721" s="9" t="inlineStr"/>
    </row>
    <row r="722">
      <c r="A722" s="9" t="inlineStr">
        <is>
          <t>Checking ...0861</t>
        </is>
      </c>
      <c r="B722" s="29" t="n">
        <v>46174</v>
      </c>
      <c r="C722" s="9" t="inlineStr">
        <is>
          <t>KFC #129 SALINAS CA                          05/31</t>
        </is>
      </c>
      <c r="D722" s="10" t="n">
        <v>-52.07</v>
      </c>
      <c r="E722" s="9" t="inlineStr">
        <is>
          <t>DEBIT_CARD</t>
        </is>
      </c>
      <c r="F722" s="10" t="n">
        <v>63924.17</v>
      </c>
      <c r="G722" s="9" t="inlineStr">
        <is>
          <t>Food - Eat Out</t>
        </is>
      </c>
      <c r="H722">
        <f>IFERROR(INDEX(Categories!$A$5:$A$93,MATCH(G722,Categories!$B$5:$B$93,0)),"")</f>
        <v/>
      </c>
      <c r="I722" s="9" t="inlineStr">
        <is>
          <t>D</t>
        </is>
      </c>
      <c r="J722" s="9" t="inlineStr">
        <is>
          <t>Restaurant/fast-food - defaulted to Eat Out; move to Food - Ailynn/Chris/Misc if you know whose order it was</t>
        </is>
      </c>
    </row>
    <row r="723">
      <c r="A723" s="9" t="inlineStr">
        <is>
          <t>Checking ...0861</t>
        </is>
      </c>
      <c r="B723" s="29" t="n">
        <v>46174</v>
      </c>
      <c r="C723" s="9" t="inlineStr">
        <is>
          <t>WAL-MART #5751 SALINAS CA                    05/31</t>
        </is>
      </c>
      <c r="D723" s="10" t="n">
        <v>-26.15</v>
      </c>
      <c r="E723" s="9" t="inlineStr">
        <is>
          <t>DEBIT_CARD</t>
        </is>
      </c>
      <c r="F723" s="10" t="n">
        <v>63976.24</v>
      </c>
      <c r="G723" s="9" t="inlineStr">
        <is>
          <t>Groceries - Walmart</t>
        </is>
      </c>
      <c r="H723">
        <f>IFERROR(INDEX(Categories!$A$5:$A$93,MATCH(G723,Categories!$B$5:$B$93,0)),"")</f>
        <v/>
      </c>
      <c r="I723" s="9" t="inlineStr">
        <is>
          <t>H</t>
        </is>
      </c>
      <c r="J723" s="9" t="inlineStr"/>
    </row>
    <row r="724">
      <c r="A724" s="9" t="inlineStr">
        <is>
          <t>Checking ...0861</t>
        </is>
      </c>
      <c r="B724" s="29" t="n">
        <v>46174</v>
      </c>
      <c r="C724" s="9" t="inlineStr">
        <is>
          <t>Online Payment 29435351111 To PACIFIC GAS &amp; ELECTRIC (PG&amp;E) 06/01</t>
        </is>
      </c>
      <c r="D724" s="10" t="n">
        <v>-300</v>
      </c>
      <c r="E724" s="9" t="inlineStr">
        <is>
          <t>BILLPAY</t>
        </is>
      </c>
      <c r="F724" s="10" t="n">
        <v>64002.39</v>
      </c>
      <c r="G724" s="9" t="inlineStr">
        <is>
          <t>PGE</t>
        </is>
      </c>
      <c r="H724">
        <f>IFERROR(INDEX(Categories!$A$5:$A$93,MATCH(G724,Categories!$B$5:$B$93,0)),"")</f>
        <v/>
      </c>
      <c r="I724" s="9" t="inlineStr">
        <is>
          <t>H</t>
        </is>
      </c>
      <c r="J724" s="9" t="inlineStr"/>
    </row>
    <row r="725">
      <c r="A725" s="9" t="inlineStr">
        <is>
          <t>Checking ...0861</t>
        </is>
      </c>
      <c r="B725" s="29" t="n">
        <v>46174</v>
      </c>
      <c r="C725" s="9" t="inlineStr">
        <is>
          <t>KLARNA*TEMU.COM WWW.KLARNA.CO DE             06/01</t>
        </is>
      </c>
      <c r="D725" s="10" t="n">
        <v>-1.46</v>
      </c>
      <c r="E725" s="9" t="inlineStr">
        <is>
          <t>DEBIT_CARD</t>
        </is>
      </c>
      <c r="F725" s="10" t="n">
        <v>64302.39</v>
      </c>
      <c r="G725" s="9" t="inlineStr">
        <is>
          <t>Klarna</t>
        </is>
      </c>
      <c r="H725">
        <f>IFERROR(INDEX(Categories!$A$5:$A$93,MATCH(G725,Categories!$B$5:$B$93,0)),"")</f>
        <v/>
      </c>
      <c r="I725" s="9" t="inlineStr">
        <is>
          <t>H</t>
        </is>
      </c>
      <c r="J725" s="9" t="inlineStr"/>
    </row>
    <row r="726">
      <c r="A726" s="9" t="inlineStr">
        <is>
          <t>Checking ...0861</t>
        </is>
      </c>
      <c r="B726" s="29" t="n">
        <v>46174</v>
      </c>
      <c r="C726" s="9" t="inlineStr">
        <is>
          <t>KLARNA*TEMU.COM WWW.KLARNA.CO DE             06/01</t>
        </is>
      </c>
      <c r="D726" s="10" t="n">
        <v>-18.3</v>
      </c>
      <c r="E726" s="9" t="inlineStr">
        <is>
          <t>DEBIT_CARD</t>
        </is>
      </c>
      <c r="F726" s="10" t="n">
        <v>64303.85</v>
      </c>
      <c r="G726" s="9" t="inlineStr">
        <is>
          <t>Klarna</t>
        </is>
      </c>
      <c r="H726">
        <f>IFERROR(INDEX(Categories!$A$5:$A$93,MATCH(G726,Categories!$B$5:$B$93,0)),"")</f>
        <v/>
      </c>
      <c r="I726" s="9" t="inlineStr">
        <is>
          <t>H</t>
        </is>
      </c>
      <c r="J726" s="9" t="inlineStr"/>
    </row>
    <row r="727">
      <c r="A727" s="9" t="inlineStr">
        <is>
          <t>Checking ...0861</t>
        </is>
      </c>
      <c r="B727" s="29" t="n">
        <v>46174</v>
      </c>
      <c r="C727" s="9" t="inlineStr">
        <is>
          <t>SOFI PLUS SOFI.COM CA                        05/31</t>
        </is>
      </c>
      <c r="D727" s="10" t="n">
        <v>-10</v>
      </c>
      <c r="E727" s="9" t="inlineStr">
        <is>
          <t>DEBIT_CARD</t>
        </is>
      </c>
      <c r="F727" s="10" t="n">
        <v>64322.15</v>
      </c>
      <c r="G727" s="9" t="inlineStr">
        <is>
          <t>Others</t>
        </is>
      </c>
      <c r="H727">
        <f>IFERROR(INDEX(Categories!$A$5:$A$93,MATCH(G727,Categories!$B$5:$B$93,0)),"")</f>
        <v/>
      </c>
      <c r="I727" s="9" t="inlineStr">
        <is>
          <t>R</t>
        </is>
      </c>
      <c r="J727" s="9" t="inlineStr">
        <is>
          <t>Unrecognized charge - please tell me what this is</t>
        </is>
      </c>
    </row>
    <row r="728">
      <c r="A728" s="9" t="inlineStr">
        <is>
          <t>Checking ...0861</t>
        </is>
      </c>
      <c r="B728" s="29" t="n">
        <v>46174</v>
      </c>
      <c r="C728" s="9" t="inlineStr">
        <is>
          <t>EBAY COMMERCE INC. SAN JOSE CA               05/31</t>
        </is>
      </c>
      <c r="D728" s="10" t="n">
        <v>-32.55</v>
      </c>
      <c r="E728" s="9" t="inlineStr">
        <is>
          <t>DEBIT_CARD</t>
        </is>
      </c>
      <c r="F728" s="10" t="n">
        <v>64332.15</v>
      </c>
      <c r="G728" s="9" t="inlineStr">
        <is>
          <t>Shop - Others</t>
        </is>
      </c>
      <c r="H728">
        <f>IFERROR(INDEX(Categories!$A$5:$A$93,MATCH(G728,Categories!$B$5:$B$93,0)),"")</f>
        <v/>
      </c>
      <c r="I728" s="9" t="inlineStr">
        <is>
          <t>D</t>
        </is>
      </c>
      <c r="J728" s="9" t="inlineStr"/>
    </row>
    <row r="729">
      <c r="A729" s="9" t="inlineStr">
        <is>
          <t>Checking ...0861</t>
        </is>
      </c>
      <c r="B729" s="29" t="n">
        <v>46174</v>
      </c>
      <c r="C729" s="9" t="inlineStr">
        <is>
          <t>WHATNOT WHATNOT.COM CA                       05/31</t>
        </is>
      </c>
      <c r="D729" s="10" t="n">
        <v>-10.88</v>
      </c>
      <c r="E729" s="9" t="inlineStr">
        <is>
          <t>DEBIT_CARD</t>
        </is>
      </c>
      <c r="F729" s="10" t="n">
        <v>64364.7</v>
      </c>
      <c r="G729" s="9" t="inlineStr">
        <is>
          <t>Shop - Whatnot</t>
        </is>
      </c>
      <c r="H729">
        <f>IFERROR(INDEX(Categories!$A$5:$A$93,MATCH(G729,Categories!$B$5:$B$93,0)),"")</f>
        <v/>
      </c>
      <c r="I729" s="9" t="inlineStr">
        <is>
          <t>H</t>
        </is>
      </c>
      <c r="J729" s="9" t="inlineStr"/>
    </row>
    <row r="730">
      <c r="A730" s="9" t="inlineStr">
        <is>
          <t>Checking ...0861</t>
        </is>
      </c>
      <c r="B730" s="29" t="n">
        <v>46174</v>
      </c>
      <c r="C730" s="9" t="inlineStr">
        <is>
          <t>WHATNOT WHATNOT.COM CA                       05/31</t>
        </is>
      </c>
      <c r="D730" s="10" t="n">
        <v>-34.8</v>
      </c>
      <c r="E730" s="9" t="inlineStr">
        <is>
          <t>DEBIT_CARD</t>
        </is>
      </c>
      <c r="F730" s="10" t="n">
        <v>64375.58</v>
      </c>
      <c r="G730" s="9" t="inlineStr">
        <is>
          <t>Shop - Whatnot</t>
        </is>
      </c>
      <c r="H730">
        <f>IFERROR(INDEX(Categories!$A$5:$A$93,MATCH(G730,Categories!$B$5:$B$93,0)),"")</f>
        <v/>
      </c>
      <c r="I730" s="9" t="inlineStr">
        <is>
          <t>H</t>
        </is>
      </c>
      <c r="J730" s="9" t="inlineStr"/>
    </row>
    <row r="731">
      <c r="A731" s="9" t="inlineStr">
        <is>
          <t>Checking ...0861</t>
        </is>
      </c>
      <c r="B731" s="29" t="n">
        <v>46174</v>
      </c>
      <c r="C731" s="9" t="inlineStr">
        <is>
          <t>WHATNOT WHATNOT.COM CA                       05/31</t>
        </is>
      </c>
      <c r="D731" s="10" t="n">
        <v>-14.53</v>
      </c>
      <c r="E731" s="9" t="inlineStr">
        <is>
          <t>DEBIT_CARD</t>
        </is>
      </c>
      <c r="F731" s="10" t="n">
        <v>64410.38</v>
      </c>
      <c r="G731" s="9" t="inlineStr">
        <is>
          <t>Shop - Whatnot</t>
        </is>
      </c>
      <c r="H731">
        <f>IFERROR(INDEX(Categories!$A$5:$A$93,MATCH(G731,Categories!$B$5:$B$93,0)),"")</f>
        <v/>
      </c>
      <c r="I731" s="9" t="inlineStr">
        <is>
          <t>H</t>
        </is>
      </c>
      <c r="J731" s="9" t="inlineStr"/>
    </row>
    <row r="732">
      <c r="A732" s="9" t="inlineStr">
        <is>
          <t>Checking ...0861</t>
        </is>
      </c>
      <c r="B732" s="29" t="n">
        <v>46174</v>
      </c>
      <c r="C732" s="9" t="inlineStr">
        <is>
          <t>WHATNOT WHATNOT.COM CA                       05/31</t>
        </is>
      </c>
      <c r="D732" s="10" t="n">
        <v>-15.69</v>
      </c>
      <c r="E732" s="9" t="inlineStr">
        <is>
          <t>DEBIT_CARD</t>
        </is>
      </c>
      <c r="F732" s="10" t="n">
        <v>64424.91</v>
      </c>
      <c r="G732" s="9" t="inlineStr">
        <is>
          <t>Shop - Whatnot</t>
        </is>
      </c>
      <c r="H732">
        <f>IFERROR(INDEX(Categories!$A$5:$A$93,MATCH(G732,Categories!$B$5:$B$93,0)),"")</f>
        <v/>
      </c>
      <c r="I732" s="9" t="inlineStr">
        <is>
          <t>H</t>
        </is>
      </c>
      <c r="J732" s="9" t="inlineStr"/>
    </row>
    <row r="733">
      <c r="A733" s="9" t="inlineStr">
        <is>
          <t>Checking ...0861</t>
        </is>
      </c>
      <c r="B733" s="29" t="n">
        <v>46174</v>
      </c>
      <c r="C733" s="9" t="inlineStr">
        <is>
          <t>WHATNOT WHATNOT.COM CA                       05/31</t>
        </is>
      </c>
      <c r="D733" s="10" t="n">
        <v>-24.67</v>
      </c>
      <c r="E733" s="9" t="inlineStr">
        <is>
          <t>DEBIT_CARD</t>
        </is>
      </c>
      <c r="F733" s="10" t="n">
        <v>64440.6</v>
      </c>
      <c r="G733" s="9" t="inlineStr">
        <is>
          <t>Shop - Whatnot</t>
        </is>
      </c>
      <c r="H733">
        <f>IFERROR(INDEX(Categories!$A$5:$A$93,MATCH(G733,Categories!$B$5:$B$93,0)),"")</f>
        <v/>
      </c>
      <c r="I733" s="9" t="inlineStr">
        <is>
          <t>H</t>
        </is>
      </c>
      <c r="J733" s="9" t="inlineStr"/>
    </row>
    <row r="734">
      <c r="A734" s="9" t="inlineStr">
        <is>
          <t>Checking ...0861</t>
        </is>
      </c>
      <c r="B734" s="29" t="n">
        <v>46174</v>
      </c>
      <c r="C734" s="9" t="inlineStr">
        <is>
          <t>GIV*FIRST PRESBY 831-4227811 CA              05/31</t>
        </is>
      </c>
      <c r="D734" s="10" t="n">
        <v>-20</v>
      </c>
      <c r="E734" s="9" t="inlineStr">
        <is>
          <t>DEBIT_CARD</t>
        </is>
      </c>
      <c r="F734" s="10" t="n">
        <v>64465.27</v>
      </c>
      <c r="G734" s="9" t="inlineStr">
        <is>
          <t>Others</t>
        </is>
      </c>
      <c r="H734">
        <f>IFERROR(INDEX(Categories!$A$5:$A$93,MATCH(G734,Categories!$B$5:$B$93,0)),"")</f>
        <v/>
      </c>
      <c r="I734" s="9" t="inlineStr">
        <is>
          <t>H</t>
        </is>
      </c>
      <c r="J734" s="9" t="inlineStr">
        <is>
          <t>Recurring $20 church/charitable giving - no matching category in your list, put under Others</t>
        </is>
      </c>
    </row>
    <row r="735">
      <c r="A735" s="9" t="inlineStr">
        <is>
          <t>Checking ...0861</t>
        </is>
      </c>
      <c r="B735" s="29" t="n">
        <v>46174</v>
      </c>
      <c r="C735" s="9" t="inlineStr">
        <is>
          <t>Sendwave 844-9335122 MA                      05/30</t>
        </is>
      </c>
      <c r="D735" s="10" t="n">
        <v>-304.99</v>
      </c>
      <c r="E735" s="9" t="inlineStr">
        <is>
          <t>DEBIT_CARD</t>
        </is>
      </c>
      <c r="F735" s="10" t="n">
        <v>64485.27</v>
      </c>
      <c r="G735" s="9" t="inlineStr">
        <is>
          <t>Remittance - others</t>
        </is>
      </c>
      <c r="H735">
        <f>IFERROR(INDEX(Categories!$A$5:$A$93,MATCH(G735,Categories!$B$5:$B$93,0)),"")</f>
        <v/>
      </c>
      <c r="I735" s="9" t="inlineStr">
        <is>
          <t>R</t>
        </is>
      </c>
      <c r="J735" s="9" t="inlineStr">
        <is>
          <t>Remittance app transfer - recipient not shown; please tell me if this is Aron, Aron's tuition, or someone else</t>
        </is>
      </c>
    </row>
    <row r="736">
      <c r="A736" s="9" t="inlineStr">
        <is>
          <t>Checking ...0861</t>
        </is>
      </c>
      <c r="B736" s="29" t="n">
        <v>46174</v>
      </c>
      <c r="C736" s="9" t="inlineStr">
        <is>
          <t>WHATNOT WHATNOT.COM CA                       05/30</t>
        </is>
      </c>
      <c r="D736" s="10" t="n">
        <v>-25.02</v>
      </c>
      <c r="E736" s="9" t="inlineStr">
        <is>
          <t>DEBIT_CARD</t>
        </is>
      </c>
      <c r="F736" s="10" t="n">
        <v>64790.26</v>
      </c>
      <c r="G736" s="9" t="inlineStr">
        <is>
          <t>Shop - Whatnot</t>
        </is>
      </c>
      <c r="H736">
        <f>IFERROR(INDEX(Categories!$A$5:$A$93,MATCH(G736,Categories!$B$5:$B$93,0)),"")</f>
        <v/>
      </c>
      <c r="I736" s="9" t="inlineStr">
        <is>
          <t>H</t>
        </is>
      </c>
      <c r="J736" s="9" t="inlineStr"/>
    </row>
    <row r="737">
      <c r="A737" s="9" t="inlineStr">
        <is>
          <t>Checking ...0861</t>
        </is>
      </c>
      <c r="B737" s="29" t="n">
        <v>46174</v>
      </c>
      <c r="C737" s="9" t="inlineStr">
        <is>
          <t>WHATNOT WHATNOT.COM CA                       05/30</t>
        </is>
      </c>
      <c r="D737" s="10" t="n">
        <v>-40.24</v>
      </c>
      <c r="E737" s="9" t="inlineStr">
        <is>
          <t>DEBIT_CARD</t>
        </is>
      </c>
      <c r="F737" s="10" t="n">
        <v>64815.28</v>
      </c>
      <c r="G737" s="9" t="inlineStr">
        <is>
          <t>Shop - Whatnot</t>
        </is>
      </c>
      <c r="H737">
        <f>IFERROR(INDEX(Categories!$A$5:$A$93,MATCH(G737,Categories!$B$5:$B$93,0)),"")</f>
        <v/>
      </c>
      <c r="I737" s="9" t="inlineStr">
        <is>
          <t>H</t>
        </is>
      </c>
      <c r="J737" s="9" t="inlineStr"/>
    </row>
    <row r="738">
      <c r="A738" s="9" t="inlineStr">
        <is>
          <t>Checking ...0861</t>
        </is>
      </c>
      <c r="B738" s="29" t="n">
        <v>46174</v>
      </c>
      <c r="C738" s="9" t="inlineStr">
        <is>
          <t>WHATNOT WHATNOT.COM CA                       05/30</t>
        </is>
      </c>
      <c r="D738" s="10" t="n">
        <v>-35.47</v>
      </c>
      <c r="E738" s="9" t="inlineStr">
        <is>
          <t>DEBIT_CARD</t>
        </is>
      </c>
      <c r="F738" s="10" t="n">
        <v>64855.52</v>
      </c>
      <c r="G738" s="9" t="inlineStr">
        <is>
          <t>Shop - Whatnot</t>
        </is>
      </c>
      <c r="H738">
        <f>IFERROR(INDEX(Categories!$A$5:$A$93,MATCH(G738,Categories!$B$5:$B$93,0)),"")</f>
        <v/>
      </c>
      <c r="I738" s="9" t="inlineStr">
        <is>
          <t>H</t>
        </is>
      </c>
      <c r="J738" s="9" t="inlineStr"/>
    </row>
    <row r="739">
      <c r="A739" s="9" t="inlineStr">
        <is>
          <t>Checking ...0861</t>
        </is>
      </c>
      <c r="B739" s="29" t="n">
        <v>46174</v>
      </c>
      <c r="C739" s="9" t="inlineStr">
        <is>
          <t>UPGRADE, INC.    PAYMENT                    PPD ID: 2812807376</t>
        </is>
      </c>
      <c r="D739" s="10" t="n">
        <v>-0.08</v>
      </c>
      <c r="E739" s="9" t="inlineStr">
        <is>
          <t>ACH_DEBIT</t>
        </is>
      </c>
      <c r="F739" s="10" t="n">
        <v>64890.99</v>
      </c>
      <c r="G739" s="9" t="inlineStr">
        <is>
          <t>Upgrade</t>
        </is>
      </c>
      <c r="H739">
        <f>IFERROR(INDEX(Categories!$A$5:$A$93,MATCH(G739,Categories!$B$5:$B$93,0)),"")</f>
        <v/>
      </c>
      <c r="I739" s="9" t="inlineStr">
        <is>
          <t>H</t>
        </is>
      </c>
      <c r="J739" s="9" t="inlineStr"/>
    </row>
    <row r="740">
      <c r="A740" s="9" t="inlineStr">
        <is>
          <t>Checking ...0861</t>
        </is>
      </c>
      <c r="B740" s="29" t="n">
        <v>46174</v>
      </c>
      <c r="C740" s="9" t="inlineStr">
        <is>
          <t>PAYPAL *PYPL PAYIN4 402-935-7733 CA          05/30</t>
        </is>
      </c>
      <c r="D740" s="10" t="n">
        <v>-31.25</v>
      </c>
      <c r="E740" s="9" t="inlineStr">
        <is>
          <t>DEBIT_CARD</t>
        </is>
      </c>
      <c r="F740" s="10" t="n">
        <v>64891.07</v>
      </c>
      <c r="G740" s="9" t="inlineStr">
        <is>
          <t>Paypal pay in 4</t>
        </is>
      </c>
      <c r="H740">
        <f>IFERROR(INDEX(Categories!$A$5:$A$93,MATCH(G740,Categories!$B$5:$B$93,0)),"")</f>
        <v/>
      </c>
      <c r="I740" s="9" t="inlineStr">
        <is>
          <t>H</t>
        </is>
      </c>
      <c r="J740" s="9" t="inlineStr"/>
    </row>
    <row r="741">
      <c r="A741" s="9" t="inlineStr">
        <is>
          <t>Checking ...0861</t>
        </is>
      </c>
      <c r="B741" s="29" t="n">
        <v>46174</v>
      </c>
      <c r="C741" s="9" t="inlineStr">
        <is>
          <t>STEVE'S FILIPINO ASIAN SALINAS CA            05/29</t>
        </is>
      </c>
      <c r="D741" s="10" t="n">
        <v>-27.49</v>
      </c>
      <c r="E741" s="9" t="inlineStr">
        <is>
          <t>DEBIT_CARD</t>
        </is>
      </c>
      <c r="F741" s="10" t="n">
        <v>64922.32</v>
      </c>
      <c r="G741" s="9" t="inlineStr">
        <is>
          <t>Groceries - Steves</t>
        </is>
      </c>
      <c r="H741">
        <f>IFERROR(INDEX(Categories!$A$5:$A$93,MATCH(G741,Categories!$B$5:$B$93,0)),"")</f>
        <v/>
      </c>
      <c r="I741" s="9" t="inlineStr">
        <is>
          <t>H</t>
        </is>
      </c>
      <c r="J741" s="9" t="inlineStr"/>
    </row>
    <row r="742">
      <c r="A742" s="9" t="inlineStr">
        <is>
          <t>Checking ...0861</t>
        </is>
      </c>
      <c r="B742" s="29" t="n">
        <v>46174</v>
      </c>
      <c r="C742" s="9" t="inlineStr">
        <is>
          <t>KLARNA* KLARNA KLARNA.COM OH                 05/29</t>
        </is>
      </c>
      <c r="D742" s="10" t="n">
        <v>-22.44</v>
      </c>
      <c r="E742" s="9" t="inlineStr">
        <is>
          <t>DEBIT_CARD</t>
        </is>
      </c>
      <c r="F742" s="10" t="n">
        <v>64949.81</v>
      </c>
      <c r="G742" s="9" t="inlineStr">
        <is>
          <t>Klarna</t>
        </is>
      </c>
      <c r="H742">
        <f>IFERROR(INDEX(Categories!$A$5:$A$93,MATCH(G742,Categories!$B$5:$B$93,0)),"")</f>
        <v/>
      </c>
      <c r="I742" s="9" t="inlineStr">
        <is>
          <t>H</t>
        </is>
      </c>
      <c r="J742" s="9" t="inlineStr"/>
    </row>
    <row r="743">
      <c r="A743" s="9" t="inlineStr">
        <is>
          <t>Checking ...0861</t>
        </is>
      </c>
      <c r="B743" s="29" t="n">
        <v>46174</v>
      </c>
      <c r="C743" s="9" t="inlineStr">
        <is>
          <t>AMAZON MARKETPLA ADJUSTMENT                 PPD ID: 9049016352</t>
        </is>
      </c>
      <c r="D743" s="10" t="n">
        <v>69.94</v>
      </c>
      <c r="E743" s="9" t="inlineStr">
        <is>
          <t>ACH_CREDIT</t>
        </is>
      </c>
      <c r="F743" s="10" t="n">
        <v>64972.25</v>
      </c>
      <c r="G743" s="9" t="inlineStr">
        <is>
          <t>Shop - Amazon returns</t>
        </is>
      </c>
      <c r="H743">
        <f>IFERROR(INDEX(Categories!$A$5:$A$93,MATCH(G743,Categories!$B$5:$B$93,0)),"")</f>
        <v/>
      </c>
      <c r="I743" s="9" t="inlineStr">
        <is>
          <t>H</t>
        </is>
      </c>
      <c r="J743" s="9" t="inlineStr"/>
    </row>
    <row r="744">
      <c r="A744" s="9" t="inlineStr">
        <is>
          <t>Checking ...0861</t>
        </is>
      </c>
      <c r="B744" s="29" t="n">
        <v>46174</v>
      </c>
      <c r="C744" s="9" t="inlineStr">
        <is>
          <t>TEAMSTERS        PAYMENTS                   PPD ID: 3046100016</t>
        </is>
      </c>
      <c r="D744" s="10" t="n">
        <v>4274.9</v>
      </c>
      <c r="E744" s="9" t="inlineStr">
        <is>
          <t>ACH_CREDIT</t>
        </is>
      </c>
      <c r="F744" s="10" t="n">
        <v>64902.31</v>
      </c>
      <c r="G744" s="9" t="inlineStr">
        <is>
          <t>Chris - Pension</t>
        </is>
      </c>
      <c r="H744">
        <f>IFERROR(INDEX(Categories!$A$5:$A$93,MATCH(G744,Categories!$B$5:$B$93,0)),"")</f>
        <v/>
      </c>
      <c r="I744" s="9" t="inlineStr">
        <is>
          <t>R</t>
        </is>
      </c>
      <c r="J744" s="9" t="inlineStr">
        <is>
          <t>Recurring ~$4,275 credit - assumed this is Chris' Teamsters pension, please confirm</t>
        </is>
      </c>
    </row>
    <row r="745">
      <c r="A745" s="9" t="inlineStr">
        <is>
          <t>Checking ...0861</t>
        </is>
      </c>
      <c r="B745" s="29" t="n">
        <v>46171</v>
      </c>
      <c r="C745" s="9" t="inlineStr">
        <is>
          <t>PAYPAL           TRANSFER   ADD TO BALANCE  WEB ID: PAYPALSD22</t>
        </is>
      </c>
      <c r="D745" s="10" t="n">
        <v>-50</v>
      </c>
      <c r="E745" s="9" t="inlineStr">
        <is>
          <t>ACH_DEBIT</t>
        </is>
      </c>
      <c r="F745" s="10" t="n">
        <v>60627.41</v>
      </c>
      <c r="G745" s="9" t="inlineStr">
        <is>
          <t>Transfer - Checking to PayPal</t>
        </is>
      </c>
      <c r="H745">
        <f>IFERROR(INDEX(Categories!$A$5:$A$93,MATCH(G745,Categories!$B$5:$B$93,0)),"")</f>
        <v/>
      </c>
      <c r="I745" s="9" t="inlineStr">
        <is>
          <t>H</t>
        </is>
      </c>
      <c r="J745" s="9" t="inlineStr"/>
    </row>
    <row r="746">
      <c r="A746" s="9" t="inlineStr">
        <is>
          <t>Checking ...0861</t>
        </is>
      </c>
      <c r="B746" s="29" t="n">
        <v>46171</v>
      </c>
      <c r="C746" s="9" t="inlineStr">
        <is>
          <t>COMCAST-XFINITY  CABLE SVCS                 PPD ID: 0000213249</t>
        </is>
      </c>
      <c r="D746" s="10" t="n">
        <v>-139.72</v>
      </c>
      <c r="E746" s="9" t="inlineStr">
        <is>
          <t>ACH_DEBIT</t>
        </is>
      </c>
      <c r="F746" s="10" t="n">
        <v>60677.41</v>
      </c>
      <c r="G746" s="9" t="inlineStr">
        <is>
          <t>Comcast</t>
        </is>
      </c>
      <c r="H746">
        <f>IFERROR(INDEX(Categories!$A$5:$A$93,MATCH(G746,Categories!$B$5:$B$93,0)),"")</f>
        <v/>
      </c>
      <c r="I746" s="9" t="inlineStr">
        <is>
          <t>H</t>
        </is>
      </c>
      <c r="J746" s="9" t="inlineStr"/>
    </row>
    <row r="747">
      <c r="A747" s="9" t="inlineStr">
        <is>
          <t>Checking ...0861</t>
        </is>
      </c>
      <c r="B747" s="29" t="n">
        <v>46171</v>
      </c>
      <c r="C747" s="9" t="inlineStr">
        <is>
          <t>KLARNA* KLARNA KLARNA.COM OH                 05/29</t>
        </is>
      </c>
      <c r="D747" s="10" t="n">
        <v>-9.16</v>
      </c>
      <c r="E747" s="9" t="inlineStr">
        <is>
          <t>DEBIT_CARD</t>
        </is>
      </c>
      <c r="F747" s="10" t="n">
        <v>60817.13</v>
      </c>
      <c r="G747" s="9" t="inlineStr">
        <is>
          <t>Klarna</t>
        </is>
      </c>
      <c r="H747">
        <f>IFERROR(INDEX(Categories!$A$5:$A$93,MATCH(G747,Categories!$B$5:$B$93,0)),"")</f>
        <v/>
      </c>
      <c r="I747" s="9" t="inlineStr">
        <is>
          <t>H</t>
        </is>
      </c>
      <c r="J747" s="9" t="inlineStr"/>
    </row>
    <row r="748">
      <c r="A748" s="9" t="inlineStr">
        <is>
          <t>Checking ...0861</t>
        </is>
      </c>
      <c r="B748" s="29" t="n">
        <v>46171</v>
      </c>
      <c r="C748" s="9" t="inlineStr">
        <is>
          <t>Online Transfer to  SAV ...5953 transaction#: 29315675261</t>
        </is>
      </c>
      <c r="D748" s="10" t="n">
        <v>-25</v>
      </c>
      <c r="E748" s="9" t="inlineStr">
        <is>
          <t>ACCT_XFER</t>
        </is>
      </c>
      <c r="F748" s="10" t="n">
        <v>60826.29</v>
      </c>
      <c r="G748" s="9" t="inlineStr">
        <is>
          <t>Transfer - Checking to Savings</t>
        </is>
      </c>
      <c r="H748">
        <f>IFERROR(INDEX(Categories!$A$5:$A$93,MATCH(G748,Categories!$B$5:$B$93,0)),"")</f>
        <v/>
      </c>
      <c r="I748" s="9" t="inlineStr">
        <is>
          <t>H</t>
        </is>
      </c>
      <c r="J748" s="9" t="inlineStr"/>
    </row>
    <row r="749">
      <c r="A749" s="9" t="inlineStr">
        <is>
          <t>Checking ...0861</t>
        </is>
      </c>
      <c r="B749" s="29" t="n">
        <v>46171</v>
      </c>
      <c r="C749" s="9" t="inlineStr">
        <is>
          <t>CITIZENS PAY     LINE OF CR 043000095094346 WEB ID: 9044036180</t>
        </is>
      </c>
      <c r="D749" s="10" t="n">
        <v>-254.75</v>
      </c>
      <c r="E749" s="9" t="inlineStr">
        <is>
          <t>ACH_DEBIT</t>
        </is>
      </c>
      <c r="F749" s="10" t="n">
        <v>60851.29</v>
      </c>
      <c r="G749" s="9" t="inlineStr">
        <is>
          <t>CC - Citizen bank</t>
        </is>
      </c>
      <c r="H749">
        <f>IFERROR(INDEX(Categories!$A$5:$A$93,MATCH(G749,Categories!$B$5:$B$93,0)),"")</f>
        <v/>
      </c>
      <c r="I749" s="9" t="inlineStr">
        <is>
          <t>H</t>
        </is>
      </c>
      <c r="J749" s="9" t="inlineStr"/>
    </row>
    <row r="750">
      <c r="A750" s="9" t="inlineStr">
        <is>
          <t>Checking ...0861</t>
        </is>
      </c>
      <c r="B750" s="29" t="n">
        <v>46171</v>
      </c>
      <c r="C750" s="9" t="inlineStr">
        <is>
          <t>NOODLE HOUSE SALINAS CA                      05/28</t>
        </is>
      </c>
      <c r="D750" s="10" t="n">
        <v>-42.45</v>
      </c>
      <c r="E750" s="9" t="inlineStr">
        <is>
          <t>DEBIT_CARD</t>
        </is>
      </c>
      <c r="F750" s="10" t="n">
        <v>61106.04</v>
      </c>
      <c r="G750" s="9" t="inlineStr">
        <is>
          <t>Food - Eat Out</t>
        </is>
      </c>
      <c r="H750">
        <f>IFERROR(INDEX(Categories!$A$5:$A$93,MATCH(G750,Categories!$B$5:$B$93,0)),"")</f>
        <v/>
      </c>
      <c r="I750" s="9" t="inlineStr">
        <is>
          <t>D</t>
        </is>
      </c>
      <c r="J750" s="9" t="inlineStr">
        <is>
          <t>Restaurant/fast-food - defaulted to Eat Out; move to Food - Ailynn/Chris/Misc if you know whose order it was</t>
        </is>
      </c>
    </row>
    <row r="751">
      <c r="A751" s="9" t="inlineStr">
        <is>
          <t>Checking ...0861</t>
        </is>
      </c>
      <c r="B751" s="29" t="n">
        <v>46171</v>
      </c>
      <c r="C751" s="9" t="inlineStr">
        <is>
          <t>USPS.COM Tracking Plu 800-344-7779 DC        05/28</t>
        </is>
      </c>
      <c r="D751" s="10" t="n">
        <v>-2.5</v>
      </c>
      <c r="E751" s="9" t="inlineStr">
        <is>
          <t>DEBIT_CARD</t>
        </is>
      </c>
      <c r="F751" s="10" t="n">
        <v>61148.49</v>
      </c>
      <c r="G751" s="9" t="inlineStr">
        <is>
          <t>Others</t>
        </is>
      </c>
      <c r="H751">
        <f>IFERROR(INDEX(Categories!$A$5:$A$93,MATCH(G751,Categories!$B$5:$B$93,0)),"")</f>
        <v/>
      </c>
      <c r="I751" s="9" t="inlineStr">
        <is>
          <t>D</t>
        </is>
      </c>
      <c r="J751" s="9" t="inlineStr">
        <is>
          <t>Shipping/postal</t>
        </is>
      </c>
    </row>
    <row r="752">
      <c r="A752" s="9" t="inlineStr">
        <is>
          <t>Checking ...0861</t>
        </is>
      </c>
      <c r="B752" s="29" t="n">
        <v>46171</v>
      </c>
      <c r="C752" s="9" t="inlineStr">
        <is>
          <t>UNITED PARCEL SE PAYROLL                    PPD ID: 4362407381</t>
        </is>
      </c>
      <c r="D752" s="10" t="n">
        <v>2275.2</v>
      </c>
      <c r="E752" s="9" t="inlineStr">
        <is>
          <t>ACH_CREDIT</t>
        </is>
      </c>
      <c r="F752" s="10" t="n">
        <v>61150.99</v>
      </c>
      <c r="G752" s="9" t="inlineStr">
        <is>
          <t>Key Salary</t>
        </is>
      </c>
      <c r="H752">
        <f>IFERROR(INDEX(Categories!$A$5:$A$93,MATCH(G752,Categories!$B$5:$B$93,0)),"")</f>
        <v/>
      </c>
      <c r="I752" s="9" t="inlineStr">
        <is>
          <t>R</t>
        </is>
      </c>
      <c r="J752" s="9" t="inlineStr">
        <is>
          <t>UPS payroll deposit - assumed this is your own Key Salary income, please confirm</t>
        </is>
      </c>
    </row>
    <row r="753">
      <c r="A753" s="9" t="inlineStr">
        <is>
          <t>Checking ...0861</t>
        </is>
      </c>
      <c r="B753" s="29" t="n">
        <v>46170</v>
      </c>
      <c r="C753" s="9" t="inlineStr">
        <is>
          <t>SALINAS SINCLAI SALINAS CA                   05/28</t>
        </is>
      </c>
      <c r="D753" s="10" t="n">
        <v>-92.5</v>
      </c>
      <c r="E753" s="9" t="inlineStr">
        <is>
          <t>DEBIT_CARD</t>
        </is>
      </c>
      <c r="F753" s="10" t="n">
        <v>58875.79</v>
      </c>
      <c r="G753" s="9" t="inlineStr">
        <is>
          <t>Gas</t>
        </is>
      </c>
      <c r="H753">
        <f>IFERROR(INDEX(Categories!$A$5:$A$93,MATCH(G753,Categories!$B$5:$B$93,0)),"")</f>
        <v/>
      </c>
      <c r="I753" s="9" t="inlineStr">
        <is>
          <t>D</t>
        </is>
      </c>
      <c r="J753" s="9" t="inlineStr"/>
    </row>
    <row r="754">
      <c r="A754" s="9" t="inlineStr">
        <is>
          <t>Checking ...0861</t>
        </is>
      </c>
      <c r="B754" s="29" t="n">
        <v>46170</v>
      </c>
      <c r="C754" s="9" t="inlineStr">
        <is>
          <t>PAYPAL           PURCHASE   TIKTOK SHOP     WEB ID: PAYPALSI77</t>
        </is>
      </c>
      <c r="D754" s="10" t="n">
        <v>-47.3</v>
      </c>
      <c r="E754" s="9" t="inlineStr">
        <is>
          <t>ACH_DEBIT</t>
        </is>
      </c>
      <c r="F754" s="10" t="n">
        <v>58968.29</v>
      </c>
      <c r="G754" s="9" t="inlineStr">
        <is>
          <t>paypal tiktok</t>
        </is>
      </c>
      <c r="H754">
        <f>IFERROR(INDEX(Categories!$A$5:$A$93,MATCH(G754,Categories!$B$5:$B$93,0)),"")</f>
        <v/>
      </c>
      <c r="I754" s="9" t="inlineStr">
        <is>
          <t>H</t>
        </is>
      </c>
      <c r="J754" s="9" t="inlineStr"/>
    </row>
    <row r="755">
      <c r="A755" s="9" t="inlineStr">
        <is>
          <t>Checking ...0861</t>
        </is>
      </c>
      <c r="B755" s="29" t="n">
        <v>46170</v>
      </c>
      <c r="C755" s="9" t="inlineStr">
        <is>
          <t>STEVE'S FILIPINO ASIAN SALINAS CA            05/27</t>
        </is>
      </c>
      <c r="D755" s="10" t="n">
        <v>-47.74</v>
      </c>
      <c r="E755" s="9" t="inlineStr">
        <is>
          <t>DEBIT_CARD</t>
        </is>
      </c>
      <c r="F755" s="10" t="n">
        <v>59015.59</v>
      </c>
      <c r="G755" s="9" t="inlineStr">
        <is>
          <t>Groceries - Steves</t>
        </is>
      </c>
      <c r="H755">
        <f>IFERROR(INDEX(Categories!$A$5:$A$93,MATCH(G755,Categories!$B$5:$B$93,0)),"")</f>
        <v/>
      </c>
      <c r="I755" s="9" t="inlineStr">
        <is>
          <t>H</t>
        </is>
      </c>
      <c r="J755" s="9" t="inlineStr"/>
    </row>
    <row r="756">
      <c r="A756" s="9" t="inlineStr">
        <is>
          <t>Checking ...0861</t>
        </is>
      </c>
      <c r="B756" s="29" t="n">
        <v>46170</v>
      </c>
      <c r="C756" s="9" t="inlineStr">
        <is>
          <t>DYNASTY COURT RESTAURAN SALINAS CA           05/26</t>
        </is>
      </c>
      <c r="D756" s="10" t="n">
        <v>-32.76</v>
      </c>
      <c r="E756" s="9" t="inlineStr">
        <is>
          <t>DEBIT_CARD</t>
        </is>
      </c>
      <c r="F756" s="10" t="n">
        <v>59063.33</v>
      </c>
      <c r="G756" s="9" t="inlineStr">
        <is>
          <t>Food - Eat Out</t>
        </is>
      </c>
      <c r="H756">
        <f>IFERROR(INDEX(Categories!$A$5:$A$93,MATCH(G756,Categories!$B$5:$B$93,0)),"")</f>
        <v/>
      </c>
      <c r="I756" s="9" t="inlineStr">
        <is>
          <t>D</t>
        </is>
      </c>
      <c r="J756" s="9" t="inlineStr">
        <is>
          <t>Restaurant/fast-food - defaulted to Eat Out; move to Food - Ailynn/Chris/Misc if you know whose order it was</t>
        </is>
      </c>
    </row>
    <row r="757">
      <c r="A757" s="9" t="inlineStr">
        <is>
          <t>Checking ...0861</t>
        </is>
      </c>
      <c r="B757" s="29" t="n">
        <v>46170</v>
      </c>
      <c r="C757" s="9" t="inlineStr">
        <is>
          <t>GOOGLE *Google One 855-836-3987 CA           05/28</t>
        </is>
      </c>
      <c r="D757" s="10" t="n">
        <v>-1.99</v>
      </c>
      <c r="E757" s="9" t="inlineStr">
        <is>
          <t>DEBIT_CARD</t>
        </is>
      </c>
      <c r="F757" s="10" t="n">
        <v>59096.09</v>
      </c>
      <c r="G757" s="9" t="inlineStr">
        <is>
          <t>Google 1</t>
        </is>
      </c>
      <c r="H757">
        <f>IFERROR(INDEX(Categories!$A$5:$A$93,MATCH(G757,Categories!$B$5:$B$93,0)),"")</f>
        <v/>
      </c>
      <c r="I757" s="9" t="inlineStr">
        <is>
          <t>H</t>
        </is>
      </c>
      <c r="J757" s="9" t="inlineStr"/>
    </row>
    <row r="758">
      <c r="A758" s="9" t="inlineStr">
        <is>
          <t>Checking ...0861</t>
        </is>
      </c>
      <c r="B758" s="29" t="n">
        <v>46170</v>
      </c>
      <c r="C758" s="9" t="inlineStr">
        <is>
          <t>AMAZON MARKETPLA ADJUSTMENT                 PPD ID: 9049016352</t>
        </is>
      </c>
      <c r="D758" s="10" t="n">
        <v>10.86</v>
      </c>
      <c r="E758" s="9" t="inlineStr">
        <is>
          <t>ACH_CREDIT</t>
        </is>
      </c>
      <c r="F758" s="10" t="n">
        <v>59098.08</v>
      </c>
      <c r="G758" s="9" t="inlineStr">
        <is>
          <t>Shop - Amazon returns</t>
        </is>
      </c>
      <c r="H758">
        <f>IFERROR(INDEX(Categories!$A$5:$A$93,MATCH(G758,Categories!$B$5:$B$93,0)),"")</f>
        <v/>
      </c>
      <c r="I758" s="9" t="inlineStr">
        <is>
          <t>H</t>
        </is>
      </c>
      <c r="J758" s="9" t="inlineStr"/>
    </row>
    <row r="759">
      <c r="A759" s="9" t="inlineStr">
        <is>
          <t>Checking ...0861</t>
        </is>
      </c>
      <c r="B759" s="29" t="n">
        <v>46169</v>
      </c>
      <c r="C759" s="9" t="inlineStr">
        <is>
          <t>WAL-MART #5751 SALINAS CA                    05/27</t>
        </is>
      </c>
      <c r="D759" s="10" t="n">
        <v>-37.24</v>
      </c>
      <c r="E759" s="9" t="inlineStr">
        <is>
          <t>DEBIT_CARD</t>
        </is>
      </c>
      <c r="F759" s="10" t="n">
        <v>59087.22</v>
      </c>
      <c r="G759" s="9" t="inlineStr">
        <is>
          <t>Groceries - Walmart</t>
        </is>
      </c>
      <c r="H759">
        <f>IFERROR(INDEX(Categories!$A$5:$A$93,MATCH(G759,Categories!$B$5:$B$93,0)),"")</f>
        <v/>
      </c>
      <c r="I759" s="9" t="inlineStr">
        <is>
          <t>H</t>
        </is>
      </c>
      <c r="J759" s="9" t="inlineStr"/>
    </row>
    <row r="760">
      <c r="A760" s="9" t="inlineStr">
        <is>
          <t>Checking ...0861</t>
        </is>
      </c>
      <c r="B760" s="29" t="n">
        <v>46169</v>
      </c>
      <c r="C760" s="9" t="inlineStr">
        <is>
          <t>MISSION LANE     EDI PYMNTS                 PPD ID: 2832674981</t>
        </is>
      </c>
      <c r="D760" s="10" t="n">
        <v>-25</v>
      </c>
      <c r="E760" s="9" t="inlineStr">
        <is>
          <t>ACH_DEBIT</t>
        </is>
      </c>
      <c r="F760" s="10" t="n">
        <v>59124.46</v>
      </c>
      <c r="G760" s="9" t="inlineStr">
        <is>
          <t>CC - Mission Lane</t>
        </is>
      </c>
      <c r="H760">
        <f>IFERROR(INDEX(Categories!$A$5:$A$93,MATCH(G760,Categories!$B$5:$B$93,0)),"")</f>
        <v/>
      </c>
      <c r="I760" s="9" t="inlineStr">
        <is>
          <t>H</t>
        </is>
      </c>
      <c r="J760" s="9" t="inlineStr"/>
    </row>
    <row r="761">
      <c r="A761" s="9" t="inlineStr">
        <is>
          <t>Checking ...0861</t>
        </is>
      </c>
      <c r="B761" s="29" t="n">
        <v>46169</v>
      </c>
      <c r="C761" s="9" t="inlineStr">
        <is>
          <t>PAYPAL *PYPL PAYIN4 402-935-7733 CA          05/27</t>
        </is>
      </c>
      <c r="D761" s="10" t="n">
        <v>-71.62</v>
      </c>
      <c r="E761" s="9" t="inlineStr">
        <is>
          <t>DEBIT_CARD</t>
        </is>
      </c>
      <c r="F761" s="10" t="n">
        <v>59149.46</v>
      </c>
      <c r="G761" s="9" t="inlineStr">
        <is>
          <t>Paypal pay in 4</t>
        </is>
      </c>
      <c r="H761">
        <f>IFERROR(INDEX(Categories!$A$5:$A$93,MATCH(G761,Categories!$B$5:$B$93,0)),"")</f>
        <v/>
      </c>
      <c r="I761" s="9" t="inlineStr">
        <is>
          <t>H</t>
        </is>
      </c>
      <c r="J761" s="9" t="inlineStr"/>
    </row>
    <row r="762">
      <c r="A762" s="9" t="inlineStr">
        <is>
          <t>Checking ...0861</t>
        </is>
      </c>
      <c r="B762" s="29" t="n">
        <v>46169</v>
      </c>
      <c r="C762" s="9" t="inlineStr">
        <is>
          <t>HABIT SALINAS 306 SALINAS CA                 05/26</t>
        </is>
      </c>
      <c r="D762" s="10" t="n">
        <v>-19.32</v>
      </c>
      <c r="E762" s="9" t="inlineStr">
        <is>
          <t>DEBIT_CARD</t>
        </is>
      </c>
      <c r="F762" s="10" t="n">
        <v>59221.08</v>
      </c>
      <c r="G762" s="9" t="inlineStr">
        <is>
          <t>Food - Eat Out</t>
        </is>
      </c>
      <c r="H762">
        <f>IFERROR(INDEX(Categories!$A$5:$A$93,MATCH(G762,Categories!$B$5:$B$93,0)),"")</f>
        <v/>
      </c>
      <c r="I762" s="9" t="inlineStr">
        <is>
          <t>D</t>
        </is>
      </c>
      <c r="J762" s="9" t="inlineStr">
        <is>
          <t>Restaurant/fast-food - defaulted to Eat Out; move to Food - Ailynn/Chris/Misc if you know whose order it was</t>
        </is>
      </c>
    </row>
    <row r="763">
      <c r="A763" s="9" t="inlineStr">
        <is>
          <t>Checking ...0861</t>
        </is>
      </c>
      <c r="B763" s="29" t="n">
        <v>46168</v>
      </c>
      <c r="C763" s="9" t="inlineStr">
        <is>
          <t>PAYPAL           PURCHASE   ETSY INC        WEB ID: PAYPALSI77</t>
        </is>
      </c>
      <c r="D763" s="10" t="n">
        <v>-28.1</v>
      </c>
      <c r="E763" s="9" t="inlineStr">
        <is>
          <t>ACH_DEBIT</t>
        </is>
      </c>
      <c r="F763" s="10" t="n">
        <v>59240.4</v>
      </c>
      <c r="G763" s="9" t="inlineStr">
        <is>
          <t>Others</t>
        </is>
      </c>
      <c r="H763">
        <f>IFERROR(INDEX(Categories!$A$5:$A$93,MATCH(G763,Categories!$B$5:$B$93,0)),"")</f>
        <v/>
      </c>
      <c r="I763" s="9" t="inlineStr">
        <is>
          <t>R</t>
        </is>
      </c>
      <c r="J763" s="9" t="inlineStr">
        <is>
          <t>Subscription/purchase via PayPal (Apple, Etsy, Google apps, Lyft, AARP, etc.) - no matching category</t>
        </is>
      </c>
    </row>
    <row r="764">
      <c r="A764" s="9" t="inlineStr">
        <is>
          <t>Checking ...0861</t>
        </is>
      </c>
      <c r="B764" s="29" t="n">
        <v>46168</v>
      </c>
      <c r="C764" s="9" t="inlineStr">
        <is>
          <t>MARSHALLS #0504 SALINAS CA                   05/26</t>
        </is>
      </c>
      <c r="D764" s="10" t="n">
        <v>-42.52</v>
      </c>
      <c r="E764" s="9" t="inlineStr">
        <is>
          <t>DEBIT_CARD</t>
        </is>
      </c>
      <c r="F764" s="10" t="n">
        <v>59268.5</v>
      </c>
      <c r="G764" s="9" t="inlineStr">
        <is>
          <t>Shop - Others</t>
        </is>
      </c>
      <c r="H764">
        <f>IFERROR(INDEX(Categories!$A$5:$A$93,MATCH(G764,Categories!$B$5:$B$93,0)),"")</f>
        <v/>
      </c>
      <c r="I764" s="9" t="inlineStr">
        <is>
          <t>D</t>
        </is>
      </c>
      <c r="J764" s="9" t="inlineStr"/>
    </row>
    <row r="765">
      <c r="A765" s="9" t="inlineStr">
        <is>
          <t>Checking ...0861</t>
        </is>
      </c>
      <c r="B765" s="29" t="n">
        <v>46168</v>
      </c>
      <c r="C765" s="9" t="inlineStr">
        <is>
          <t>Zelle payment to RHIAN ALMO 29367532616</t>
        </is>
      </c>
      <c r="D765" s="10" t="n">
        <v>-500</v>
      </c>
      <c r="E765" s="9" t="inlineStr">
        <is>
          <t>QUICKPAY_DEBIT</t>
        </is>
      </c>
      <c r="F765" s="10" t="n">
        <v>59311.02</v>
      </c>
      <c r="G765" s="9" t="inlineStr">
        <is>
          <t>Others</t>
        </is>
      </c>
      <c r="H765">
        <f>IFERROR(INDEX(Categories!$A$5:$A$93,MATCH(G765,Categories!$B$5:$B$93,0)),"")</f>
        <v/>
      </c>
      <c r="I765" s="9" t="inlineStr">
        <is>
          <t>R</t>
        </is>
      </c>
      <c r="J765" s="9" t="inlineStr">
        <is>
          <t>Zelle sent - please tell me who this person is so I can map them to a category</t>
        </is>
      </c>
    </row>
    <row r="766">
      <c r="A766" s="9" t="inlineStr">
        <is>
          <t>Checking ...0861</t>
        </is>
      </c>
      <c r="B766" s="29" t="n">
        <v>46168</v>
      </c>
      <c r="C766" s="9" t="inlineStr">
        <is>
          <t>AMAZON MARKETPLA INTERNET   043000098457738 WEB ID: 9049016352</t>
        </is>
      </c>
      <c r="D766" s="10" t="n">
        <v>-8.69</v>
      </c>
      <c r="E766" s="9" t="inlineStr">
        <is>
          <t>ACH_DEBIT</t>
        </is>
      </c>
      <c r="F766" s="10" t="n">
        <v>59811.02</v>
      </c>
      <c r="G766" s="9" t="inlineStr">
        <is>
          <t>Shop - Amazon</t>
        </is>
      </c>
      <c r="H766">
        <f>IFERROR(INDEX(Categories!$A$5:$A$93,MATCH(G766,Categories!$B$5:$B$93,0)),"")</f>
        <v/>
      </c>
      <c r="I766" s="9" t="inlineStr">
        <is>
          <t>H</t>
        </is>
      </c>
      <c r="J766" s="9" t="inlineStr"/>
    </row>
    <row r="767">
      <c r="A767" s="9" t="inlineStr">
        <is>
          <t>Checking ...0861</t>
        </is>
      </c>
      <c r="B767" s="29" t="n">
        <v>46168</v>
      </c>
      <c r="C767" s="9" t="inlineStr">
        <is>
          <t>PAYPAL           PURCHASE   GOOGLE YESOULFI WEB ID: PAYPALSI77</t>
        </is>
      </c>
      <c r="D767" s="10" t="n">
        <v>-13.99</v>
      </c>
      <c r="E767" s="9" t="inlineStr">
        <is>
          <t>ACH_DEBIT</t>
        </is>
      </c>
      <c r="F767" s="10" t="n">
        <v>59819.71</v>
      </c>
      <c r="G767" s="9" t="inlineStr">
        <is>
          <t>Yesoulfitness</t>
        </is>
      </c>
      <c r="H767">
        <f>IFERROR(INDEX(Categories!$A$5:$A$93,MATCH(G767,Categories!$B$5:$B$93,0)),"")</f>
        <v/>
      </c>
      <c r="I767" s="9" t="inlineStr">
        <is>
          <t>H</t>
        </is>
      </c>
      <c r="J767" s="9" t="inlineStr"/>
    </row>
    <row r="768">
      <c r="A768" s="9" t="inlineStr">
        <is>
          <t>Checking ...0861</t>
        </is>
      </c>
      <c r="B768" s="29" t="n">
        <v>46168</v>
      </c>
      <c r="C768" s="9" t="inlineStr">
        <is>
          <t>AMAZON MARKETPLA INTERNET   043000098528160 WEB ID: 9049016352</t>
        </is>
      </c>
      <c r="D768" s="10" t="n">
        <v>-14.13</v>
      </c>
      <c r="E768" s="9" t="inlineStr">
        <is>
          <t>ACH_DEBIT</t>
        </is>
      </c>
      <c r="F768" s="10" t="n">
        <v>59833.7</v>
      </c>
      <c r="G768" s="9" t="inlineStr">
        <is>
          <t>Shop - Amazon</t>
        </is>
      </c>
      <c r="H768">
        <f>IFERROR(INDEX(Categories!$A$5:$A$93,MATCH(G768,Categories!$B$5:$B$93,0)),"")</f>
        <v/>
      </c>
      <c r="I768" s="9" t="inlineStr">
        <is>
          <t>H</t>
        </is>
      </c>
      <c r="J768" s="9" t="inlineStr"/>
    </row>
    <row r="769">
      <c r="A769" s="9" t="inlineStr">
        <is>
          <t>Checking ...0861</t>
        </is>
      </c>
      <c r="B769" s="29" t="n">
        <v>46168</v>
      </c>
      <c r="C769" s="9" t="inlineStr">
        <is>
          <t>PAYPAL           PURCHASE   GOOGLE YOUTUBE  WEB ID: PAYPALSI77</t>
        </is>
      </c>
      <c r="D769" s="10" t="n">
        <v>-15.99</v>
      </c>
      <c r="E769" s="9" t="inlineStr">
        <is>
          <t>ACH_DEBIT</t>
        </is>
      </c>
      <c r="F769" s="10" t="n">
        <v>59847.83</v>
      </c>
      <c r="G769" s="9" t="inlineStr">
        <is>
          <t>YT Premium</t>
        </is>
      </c>
      <c r="H769">
        <f>IFERROR(INDEX(Categories!$A$5:$A$93,MATCH(G769,Categories!$B$5:$B$93,0)),"")</f>
        <v/>
      </c>
      <c r="I769" s="9" t="inlineStr">
        <is>
          <t>H</t>
        </is>
      </c>
      <c r="J769" s="9" t="inlineStr"/>
    </row>
    <row r="770">
      <c r="A770" s="9" t="inlineStr">
        <is>
          <t>Checking ...0861</t>
        </is>
      </c>
      <c r="B770" s="29" t="n">
        <v>46168</v>
      </c>
      <c r="C770" s="9" t="inlineStr">
        <is>
          <t>PAYPAL           PURCHASE   LYFT XL RIDE 05 WEB ID: PAYPALSI77</t>
        </is>
      </c>
      <c r="D770" s="10" t="n">
        <v>-45.45</v>
      </c>
      <c r="E770" s="9" t="inlineStr">
        <is>
          <t>ACH_DEBIT</t>
        </is>
      </c>
      <c r="F770" s="10" t="n">
        <v>59863.82</v>
      </c>
      <c r="G770" s="9" t="inlineStr">
        <is>
          <t>Others</t>
        </is>
      </c>
      <c r="H770">
        <f>IFERROR(INDEX(Categories!$A$5:$A$93,MATCH(G770,Categories!$B$5:$B$93,0)),"")</f>
        <v/>
      </c>
      <c r="I770" s="9" t="inlineStr">
        <is>
          <t>R</t>
        </is>
      </c>
      <c r="J770" s="9" t="inlineStr">
        <is>
          <t>Subscription/purchase via PayPal (Apple, Etsy, Google apps, Lyft, AARP, etc.) - no matching category</t>
        </is>
      </c>
    </row>
    <row r="771">
      <c r="A771" s="9" t="inlineStr">
        <is>
          <t>Checking ...0861</t>
        </is>
      </c>
      <c r="B771" s="29" t="n">
        <v>46168</v>
      </c>
      <c r="C771" s="9" t="inlineStr">
        <is>
          <t>AMAZON MARKETPLA INTERNET   043000098540426 WEB ID: 9049016352</t>
        </is>
      </c>
      <c r="D771" s="10" t="n">
        <v>-46.75</v>
      </c>
      <c r="E771" s="9" t="inlineStr">
        <is>
          <t>ACH_DEBIT</t>
        </is>
      </c>
      <c r="F771" s="10" t="n">
        <v>59909.27</v>
      </c>
      <c r="G771" s="9" t="inlineStr">
        <is>
          <t>Shop - Amazon</t>
        </is>
      </c>
      <c r="H771">
        <f>IFERROR(INDEX(Categories!$A$5:$A$93,MATCH(G771,Categories!$B$5:$B$93,0)),"")</f>
        <v/>
      </c>
      <c r="I771" s="9" t="inlineStr">
        <is>
          <t>H</t>
        </is>
      </c>
      <c r="J771" s="9" t="inlineStr"/>
    </row>
    <row r="772">
      <c r="A772" s="9" t="inlineStr">
        <is>
          <t>Checking ...0861</t>
        </is>
      </c>
      <c r="B772" s="29" t="n">
        <v>46168</v>
      </c>
      <c r="C772" s="9" t="inlineStr">
        <is>
          <t>AMAZON MARKETPLA INTERNET   043000098469106 WEB ID: 9049016352</t>
        </is>
      </c>
      <c r="D772" s="10" t="n">
        <v>-108.74</v>
      </c>
      <c r="E772" s="9" t="inlineStr">
        <is>
          <t>ACH_DEBIT</t>
        </is>
      </c>
      <c r="F772" s="10" t="n">
        <v>59956.02</v>
      </c>
      <c r="G772" s="9" t="inlineStr">
        <is>
          <t>Shop - Amazon</t>
        </is>
      </c>
      <c r="H772">
        <f>IFERROR(INDEX(Categories!$A$5:$A$93,MATCH(G772,Categories!$B$5:$B$93,0)),"")</f>
        <v/>
      </c>
      <c r="I772" s="9" t="inlineStr">
        <is>
          <t>H</t>
        </is>
      </c>
      <c r="J772" s="9" t="inlineStr"/>
    </row>
    <row r="773">
      <c r="A773" s="9" t="inlineStr">
        <is>
          <t>Checking ...0861</t>
        </is>
      </c>
      <c r="B773" s="29" t="n">
        <v>46168</v>
      </c>
      <c r="C773" s="9" t="inlineStr">
        <is>
          <t>VERIZON WIRELESS PAYMENTS                   PPD ID: 4223344794</t>
        </is>
      </c>
      <c r="D773" s="10" t="n">
        <v>-390.34</v>
      </c>
      <c r="E773" s="9" t="inlineStr">
        <is>
          <t>MISC_DEBIT</t>
        </is>
      </c>
      <c r="F773" s="10" t="n">
        <v>60064.76</v>
      </c>
      <c r="G773" s="9" t="inlineStr">
        <is>
          <t>Verizon</t>
        </is>
      </c>
      <c r="H773">
        <f>IFERROR(INDEX(Categories!$A$5:$A$93,MATCH(G773,Categories!$B$5:$B$93,0)),"")</f>
        <v/>
      </c>
      <c r="I773" s="9" t="inlineStr">
        <is>
          <t>H</t>
        </is>
      </c>
      <c r="J773" s="9" t="inlineStr"/>
    </row>
    <row r="774">
      <c r="A774" s="9" t="inlineStr">
        <is>
          <t>Checking ...0861</t>
        </is>
      </c>
      <c r="B774" s="29" t="n">
        <v>46168</v>
      </c>
      <c r="C774" s="9" t="inlineStr">
        <is>
          <t>MCDONALD'S F33616 TEHACHAPI CA               05/25</t>
        </is>
      </c>
      <c r="D774" s="10" t="n">
        <v>-8.1</v>
      </c>
      <c r="E774" s="9" t="inlineStr">
        <is>
          <t>DEBIT_CARD</t>
        </is>
      </c>
      <c r="F774" s="10" t="n">
        <v>60455.1</v>
      </c>
      <c r="G774" s="9" t="inlineStr">
        <is>
          <t>Food - Eat Out</t>
        </is>
      </c>
      <c r="H774">
        <f>IFERROR(INDEX(Categories!$A$5:$A$93,MATCH(G774,Categories!$B$5:$B$93,0)),"")</f>
        <v/>
      </c>
      <c r="I774" s="9" t="inlineStr">
        <is>
          <t>D</t>
        </is>
      </c>
      <c r="J774" s="9" t="inlineStr">
        <is>
          <t>Restaurant/fast-food - defaulted to Eat Out; move to Food - Ailynn/Chris/Misc if you know whose order it was</t>
        </is>
      </c>
    </row>
    <row r="775">
      <c r="A775" s="9" t="inlineStr">
        <is>
          <t>Checking ...0861</t>
        </is>
      </c>
      <c r="B775" s="29" t="n">
        <v>46168</v>
      </c>
      <c r="C775" s="9" t="inlineStr">
        <is>
          <t>CHEVRON 0305298 KRAMER JUNCTI CA             05/25</t>
        </is>
      </c>
      <c r="D775" s="10" t="n">
        <v>-30.01</v>
      </c>
      <c r="E775" s="9" t="inlineStr">
        <is>
          <t>DEBIT_CARD</t>
        </is>
      </c>
      <c r="F775" s="10" t="n">
        <v>60463.2</v>
      </c>
      <c r="G775" s="9" t="inlineStr">
        <is>
          <t>Gas</t>
        </is>
      </c>
      <c r="H775">
        <f>IFERROR(INDEX(Categories!$A$5:$A$93,MATCH(G775,Categories!$B$5:$B$93,0)),"")</f>
        <v/>
      </c>
      <c r="I775" s="9" t="inlineStr">
        <is>
          <t>D</t>
        </is>
      </c>
      <c r="J775" s="9" t="inlineStr"/>
    </row>
    <row r="776">
      <c r="A776" s="9" t="inlineStr">
        <is>
          <t>Checking ...0861</t>
        </is>
      </c>
      <c r="B776" s="29" t="n">
        <v>46168</v>
      </c>
      <c r="C776" s="9" t="inlineStr">
        <is>
          <t>TRAVEL CENTER II BAKER CA                    05/25</t>
        </is>
      </c>
      <c r="D776" s="10" t="n">
        <v>-35.29</v>
      </c>
      <c r="E776" s="9" t="inlineStr">
        <is>
          <t>DEBIT_CARD</t>
        </is>
      </c>
      <c r="F776" s="10" t="n">
        <v>60493.21</v>
      </c>
      <c r="G776" s="9" t="inlineStr">
        <is>
          <t>Gas</t>
        </is>
      </c>
      <c r="H776">
        <f>IFERROR(INDEX(Categories!$A$5:$A$93,MATCH(G776,Categories!$B$5:$B$93,0)),"")</f>
        <v/>
      </c>
      <c r="I776" s="9" t="inlineStr">
        <is>
          <t>D</t>
        </is>
      </c>
      <c r="J776" s="9" t="inlineStr"/>
    </row>
    <row r="777">
      <c r="A777" s="9" t="inlineStr">
        <is>
          <t>Checking ...0861</t>
        </is>
      </c>
      <c r="B777" s="29" t="n">
        <v>46168</v>
      </c>
      <c r="C777" s="9" t="inlineStr">
        <is>
          <t>CHEVRON 0387120 BAKER CA                     05/25</t>
        </is>
      </c>
      <c r="D777" s="10" t="n">
        <v>-6.44</v>
      </c>
      <c r="E777" s="9" t="inlineStr">
        <is>
          <t>DEBIT_CARD</t>
        </is>
      </c>
      <c r="F777" s="10" t="n">
        <v>60528.5</v>
      </c>
      <c r="G777" s="9" t="inlineStr">
        <is>
          <t>Gas</t>
        </is>
      </c>
      <c r="H777">
        <f>IFERROR(INDEX(Categories!$A$5:$A$93,MATCH(G777,Categories!$B$5:$B$93,0)),"")</f>
        <v/>
      </c>
      <c r="I777" s="9" t="inlineStr">
        <is>
          <t>D</t>
        </is>
      </c>
      <c r="J777" s="9" t="inlineStr"/>
    </row>
    <row r="778">
      <c r="A778" s="9" t="inlineStr">
        <is>
          <t>Checking ...0861</t>
        </is>
      </c>
      <c r="B778" s="29" t="n">
        <v>46168</v>
      </c>
      <c r="C778" s="9" t="inlineStr">
        <is>
          <t>CHEVRON 0387120 BAKER CA                     05/25</t>
        </is>
      </c>
      <c r="D778" s="10" t="n">
        <v>-17.85</v>
      </c>
      <c r="E778" s="9" t="inlineStr">
        <is>
          <t>DEBIT_CARD</t>
        </is>
      </c>
      <c r="F778" s="10" t="n">
        <v>60534.94</v>
      </c>
      <c r="G778" s="9" t="inlineStr">
        <is>
          <t>Gas</t>
        </is>
      </c>
      <c r="H778">
        <f>IFERROR(INDEX(Categories!$A$5:$A$93,MATCH(G778,Categories!$B$5:$B$93,0)),"")</f>
        <v/>
      </c>
      <c r="I778" s="9" t="inlineStr">
        <is>
          <t>D</t>
        </is>
      </c>
      <c r="J778" s="9" t="inlineStr"/>
    </row>
    <row r="779">
      <c r="A779" s="9" t="inlineStr">
        <is>
          <t>Checking ...0861</t>
        </is>
      </c>
      <c r="B779" s="29" t="n">
        <v>46168</v>
      </c>
      <c r="C779" s="9" t="inlineStr">
        <is>
          <t>CHEVRON 0381314 JEAN NV                      05/25</t>
        </is>
      </c>
      <c r="D779" s="10" t="n">
        <v>-6.89</v>
      </c>
      <c r="E779" s="9" t="inlineStr">
        <is>
          <t>DEBIT_CARD</t>
        </is>
      </c>
      <c r="F779" s="10" t="n">
        <v>60552.79</v>
      </c>
      <c r="G779" s="9" t="inlineStr">
        <is>
          <t>Gas</t>
        </is>
      </c>
      <c r="H779">
        <f>IFERROR(INDEX(Categories!$A$5:$A$93,MATCH(G779,Categories!$B$5:$B$93,0)),"")</f>
        <v/>
      </c>
      <c r="I779" s="9" t="inlineStr">
        <is>
          <t>D</t>
        </is>
      </c>
      <c r="J779" s="9" t="inlineStr"/>
    </row>
    <row r="780">
      <c r="A780" s="9" t="inlineStr">
        <is>
          <t>Checking ...0861</t>
        </is>
      </c>
      <c r="B780" s="29" t="n">
        <v>46168</v>
      </c>
      <c r="C780" s="9" t="inlineStr">
        <is>
          <t>CHEVRON 0381314 JEAN NV                      05/25</t>
        </is>
      </c>
      <c r="D780" s="10" t="n">
        <v>-88.44</v>
      </c>
      <c r="E780" s="9" t="inlineStr">
        <is>
          <t>DEBIT_CARD</t>
        </is>
      </c>
      <c r="F780" s="10" t="n">
        <v>60559.68</v>
      </c>
      <c r="G780" s="9" t="inlineStr">
        <is>
          <t>Gas</t>
        </is>
      </c>
      <c r="H780">
        <f>IFERROR(INDEX(Categories!$A$5:$A$93,MATCH(G780,Categories!$B$5:$B$93,0)),"")</f>
        <v/>
      </c>
      <c r="I780" s="9" t="inlineStr">
        <is>
          <t>D</t>
        </is>
      </c>
      <c r="J780" s="9" t="inlineStr"/>
    </row>
    <row r="781">
      <c r="A781" s="9" t="inlineStr">
        <is>
          <t>Checking ...0861</t>
        </is>
      </c>
      <c r="B781" s="29" t="n">
        <v>46168</v>
      </c>
      <c r="C781" s="9" t="inlineStr">
        <is>
          <t>MANILA BBQ &amp; SEAFOOD HENDERSON NV            05/25</t>
        </is>
      </c>
      <c r="D781" s="10" t="n">
        <v>-189.49</v>
      </c>
      <c r="E781" s="9" t="inlineStr">
        <is>
          <t>DEBIT_CARD</t>
        </is>
      </c>
      <c r="F781" s="10" t="n">
        <v>60648.12</v>
      </c>
      <c r="G781" s="9" t="inlineStr">
        <is>
          <t>Food - Eat Out</t>
        </is>
      </c>
      <c r="H781">
        <f>IFERROR(INDEX(Categories!$A$5:$A$93,MATCH(G781,Categories!$B$5:$B$93,0)),"")</f>
        <v/>
      </c>
      <c r="I781" s="9" t="inlineStr">
        <is>
          <t>D</t>
        </is>
      </c>
      <c r="J781" s="9" t="inlineStr">
        <is>
          <t>Restaurant/fast-food - defaulted to Eat Out; move to Food - Ailynn/Chris/Misc if you know whose order it was</t>
        </is>
      </c>
    </row>
    <row r="782">
      <c r="A782" s="9" t="inlineStr">
        <is>
          <t>Checking ...0861</t>
        </is>
      </c>
      <c r="B782" s="29" t="n">
        <v>46168</v>
      </c>
      <c r="C782" s="9" t="inlineStr">
        <is>
          <t>GOOGLE *Life360 Stay g.co/helppay# CA        05/25</t>
        </is>
      </c>
      <c r="D782" s="10" t="n">
        <v>-13.79</v>
      </c>
      <c r="E782" s="9" t="inlineStr">
        <is>
          <t>DEBIT_CARD</t>
        </is>
      </c>
      <c r="F782" s="10" t="n">
        <v>60837.61</v>
      </c>
      <c r="G782" s="9" t="inlineStr">
        <is>
          <t>Life 360</t>
        </is>
      </c>
      <c r="H782">
        <f>IFERROR(INDEX(Categories!$A$5:$A$93,MATCH(G782,Categories!$B$5:$B$93,0)),"")</f>
        <v/>
      </c>
      <c r="I782" s="9" t="inlineStr">
        <is>
          <t>H</t>
        </is>
      </c>
      <c r="J782" s="9" t="inlineStr"/>
    </row>
    <row r="783">
      <c r="A783" s="9" t="inlineStr">
        <is>
          <t>Checking ...0861</t>
        </is>
      </c>
      <c r="B783" s="29" t="n">
        <v>46168</v>
      </c>
      <c r="C783" s="9" t="inlineStr">
        <is>
          <t>AFTERPAY 185-52896014 CA                     05/25</t>
        </is>
      </c>
      <c r="D783" s="10" t="n">
        <v>-10.74</v>
      </c>
      <c r="E783" s="9" t="inlineStr">
        <is>
          <t>DEBIT_CARD</t>
        </is>
      </c>
      <c r="F783" s="10" t="n">
        <v>60851.4</v>
      </c>
      <c r="G783" s="9" t="inlineStr">
        <is>
          <t>Afterpay</t>
        </is>
      </c>
      <c r="H783">
        <f>IFERROR(INDEX(Categories!$A$5:$A$93,MATCH(G783,Categories!$B$5:$B$93,0)),"")</f>
        <v/>
      </c>
      <c r="I783" s="9" t="inlineStr">
        <is>
          <t>H</t>
        </is>
      </c>
      <c r="J783" s="9" t="inlineStr"/>
    </row>
    <row r="784">
      <c r="A784" s="9" t="inlineStr">
        <is>
          <t>Checking ...0861</t>
        </is>
      </c>
      <c r="B784" s="29" t="n">
        <v>46168</v>
      </c>
      <c r="C784" s="9" t="inlineStr">
        <is>
          <t>ABC #101 LV LAS VEGAS NV                     05/24</t>
        </is>
      </c>
      <c r="D784" s="10" t="n">
        <v>-8.140000000000001</v>
      </c>
      <c r="E784" s="9" t="inlineStr">
        <is>
          <t>DEBIT_CARD</t>
        </is>
      </c>
      <c r="F784" s="10" t="n">
        <v>60862.14</v>
      </c>
      <c r="G784" s="9" t="inlineStr">
        <is>
          <t>Food - Eat Out</t>
        </is>
      </c>
      <c r="H784">
        <f>IFERROR(INDEX(Categories!$A$5:$A$93,MATCH(G784,Categories!$B$5:$B$93,0)),"")</f>
        <v/>
      </c>
      <c r="I784" s="9" t="inlineStr">
        <is>
          <t>D</t>
        </is>
      </c>
      <c r="J784" s="9" t="inlineStr">
        <is>
          <t>Restaurant/fast-food - defaulted to Eat Out; move to Food - Ailynn/Chris/Misc if you know whose order it was</t>
        </is>
      </c>
    </row>
    <row r="785">
      <c r="A785" s="9" t="inlineStr">
        <is>
          <t>Checking ...0861</t>
        </is>
      </c>
      <c r="B785" s="29" t="n">
        <v>46168</v>
      </c>
      <c r="C785" s="9" t="inlineStr">
        <is>
          <t>SQ *LE THAI Las Vegas NV                     05/25</t>
        </is>
      </c>
      <c r="D785" s="10" t="n">
        <v>-205</v>
      </c>
      <c r="E785" s="9" t="inlineStr">
        <is>
          <t>DEBIT_CARD</t>
        </is>
      </c>
      <c r="F785" s="10" t="n">
        <v>60870.28</v>
      </c>
      <c r="G785" s="9" t="inlineStr">
        <is>
          <t>Food - Eat Out</t>
        </is>
      </c>
      <c r="H785">
        <f>IFERROR(INDEX(Categories!$A$5:$A$93,MATCH(G785,Categories!$B$5:$B$93,0)),"")</f>
        <v/>
      </c>
      <c r="I785" s="9" t="inlineStr">
        <is>
          <t>D</t>
        </is>
      </c>
      <c r="J785" s="9" t="inlineStr">
        <is>
          <t>Restaurant/fast-food - defaulted to Eat Out; move to Food - Ailynn/Chris/Misc if you know whose order it was</t>
        </is>
      </c>
    </row>
    <row r="786">
      <c r="A786" s="9" t="inlineStr">
        <is>
          <t>Checking ...0861</t>
        </is>
      </c>
      <c r="B786" s="29" t="n">
        <v>46168</v>
      </c>
      <c r="C786" s="9" t="inlineStr">
        <is>
          <t>COSMOPOL-SELF PARKING LAS VEGAS NV           05/24</t>
        </is>
      </c>
      <c r="D786" s="10" t="n">
        <v>-25</v>
      </c>
      <c r="E786" s="9" t="inlineStr">
        <is>
          <t>DEBIT_CARD</t>
        </is>
      </c>
      <c r="F786" s="10" t="n">
        <v>61075.28</v>
      </c>
      <c r="G786" s="9" t="inlineStr">
        <is>
          <t>For Car</t>
        </is>
      </c>
      <c r="H786">
        <f>IFERROR(INDEX(Categories!$A$5:$A$93,MATCH(G786,Categories!$B$5:$B$93,0)),"")</f>
        <v/>
      </c>
      <c r="I786" s="9" t="inlineStr">
        <is>
          <t>D</t>
        </is>
      </c>
      <c r="J786" s="9" t="inlineStr">
        <is>
          <t>Parking charge, defaulted to For Car</t>
        </is>
      </c>
    </row>
    <row r="787">
      <c r="A787" s="9" t="inlineStr">
        <is>
          <t>Checking ...0861</t>
        </is>
      </c>
      <c r="B787" s="29" t="n">
        <v>46168</v>
      </c>
      <c r="C787" s="9" t="inlineStr">
        <is>
          <t>COCA COLA LAS VEGAS LAS VEGAS NV             05/24</t>
        </is>
      </c>
      <c r="D787" s="10" t="n">
        <v>-4</v>
      </c>
      <c r="E787" s="9" t="inlineStr">
        <is>
          <t>DEBIT_CARD</t>
        </is>
      </c>
      <c r="F787" s="10" t="n">
        <v>61100.28</v>
      </c>
      <c r="G787" s="9" t="inlineStr">
        <is>
          <t>Food - Eat Out</t>
        </is>
      </c>
      <c r="H787">
        <f>IFERROR(INDEX(Categories!$A$5:$A$93,MATCH(G787,Categories!$B$5:$B$93,0)),"")</f>
        <v/>
      </c>
      <c r="I787" s="9" t="inlineStr">
        <is>
          <t>D</t>
        </is>
      </c>
      <c r="J787" s="9" t="inlineStr">
        <is>
          <t>Restaurant/fast-food - defaulted to Eat Out; move to Food - Ailynn/Chris/Misc if you know whose order it was</t>
        </is>
      </c>
    </row>
    <row r="788">
      <c r="A788" s="9" t="inlineStr">
        <is>
          <t>Checking ...0861</t>
        </is>
      </c>
      <c r="B788" s="29" t="n">
        <v>46168</v>
      </c>
      <c r="C788" s="9" t="inlineStr">
        <is>
          <t>SQ *FANTASY CLAW ARCADE Las Vegas NV         05/24</t>
        </is>
      </c>
      <c r="D788" s="10" t="n">
        <v>-70.44</v>
      </c>
      <c r="E788" s="9" t="inlineStr">
        <is>
          <t>DEBIT_CARD</t>
        </is>
      </c>
      <c r="F788" s="10" t="n">
        <v>61104.28</v>
      </c>
      <c r="G788" s="9" t="inlineStr">
        <is>
          <t>Food - Eat Out</t>
        </is>
      </c>
      <c r="H788">
        <f>IFERROR(INDEX(Categories!$A$5:$A$93,MATCH(G788,Categories!$B$5:$B$93,0)),"")</f>
        <v/>
      </c>
      <c r="I788" s="9" t="inlineStr">
        <is>
          <t>D</t>
        </is>
      </c>
      <c r="J788" s="9" t="inlineStr"/>
    </row>
    <row r="789">
      <c r="A789" s="9" t="inlineStr">
        <is>
          <t>Checking ...0861</t>
        </is>
      </c>
      <c r="B789" s="29" t="n">
        <v>46168</v>
      </c>
      <c r="C789" s="9" t="inlineStr">
        <is>
          <t>SP ALLOYMAN ALLOYMANTOOLS CO                 05/24</t>
        </is>
      </c>
      <c r="D789" s="10" t="n">
        <v>-109.99</v>
      </c>
      <c r="E789" s="9" t="inlineStr">
        <is>
          <t>DEBIT_CARD</t>
        </is>
      </c>
      <c r="F789" s="10" t="n">
        <v>61174.72</v>
      </c>
      <c r="G789" s="9" t="inlineStr">
        <is>
          <t>Shop - Others</t>
        </is>
      </c>
      <c r="H789">
        <f>IFERROR(INDEX(Categories!$A$5:$A$93,MATCH(G789,Categories!$B$5:$B$93,0)),"")</f>
        <v/>
      </c>
      <c r="I789" s="9" t="inlineStr">
        <is>
          <t>R</t>
        </is>
      </c>
      <c r="J789" s="9" t="inlineStr">
        <is>
          <t>Small online-shop charge via an affiliate/Affirm-style processor - description doesn't name the actual store</t>
        </is>
      </c>
    </row>
    <row r="790">
      <c r="A790" s="9" t="inlineStr">
        <is>
          <t>Checking ...0861</t>
        </is>
      </c>
      <c r="B790" s="29" t="n">
        <v>46168</v>
      </c>
      <c r="C790" s="9" t="inlineStr">
        <is>
          <t>GIV*FIRST PRESBY 831-4227811 CA              05/24</t>
        </is>
      </c>
      <c r="D790" s="10" t="n">
        <v>-20</v>
      </c>
      <c r="E790" s="9" t="inlineStr">
        <is>
          <t>DEBIT_CARD</t>
        </is>
      </c>
      <c r="F790" s="10" t="n">
        <v>61284.71</v>
      </c>
      <c r="G790" s="9" t="inlineStr">
        <is>
          <t>Others</t>
        </is>
      </c>
      <c r="H790">
        <f>IFERROR(INDEX(Categories!$A$5:$A$93,MATCH(G790,Categories!$B$5:$B$93,0)),"")</f>
        <v/>
      </c>
      <c r="I790" s="9" t="inlineStr">
        <is>
          <t>H</t>
        </is>
      </c>
      <c r="J790" s="9" t="inlineStr">
        <is>
          <t>Recurring $20 church/charitable giving - no matching category in your list, put under Others</t>
        </is>
      </c>
    </row>
    <row r="791">
      <c r="A791" s="9" t="inlineStr">
        <is>
          <t>Checking ...0861</t>
        </is>
      </c>
      <c r="B791" s="29" t="n">
        <v>46168</v>
      </c>
      <c r="C791" s="9" t="inlineStr">
        <is>
          <t>322 PIZZA BAR LAS VEGAS NV                   05/23</t>
        </is>
      </c>
      <c r="D791" s="10" t="n">
        <v>-75.81</v>
      </c>
      <c r="E791" s="9" t="inlineStr">
        <is>
          <t>DEBIT_CARD</t>
        </is>
      </c>
      <c r="F791" s="10" t="n">
        <v>61304.71</v>
      </c>
      <c r="G791" s="9" t="inlineStr">
        <is>
          <t>Food - Eat Out</t>
        </is>
      </c>
      <c r="H791">
        <f>IFERROR(INDEX(Categories!$A$5:$A$93,MATCH(G791,Categories!$B$5:$B$93,0)),"")</f>
        <v/>
      </c>
      <c r="I791" s="9" t="inlineStr">
        <is>
          <t>D</t>
        </is>
      </c>
      <c r="J791" s="9" t="inlineStr">
        <is>
          <t>Restaurant/fast-food - defaulted to Eat Out; move to Food - Ailynn/Chris/Misc if you know whose order it was</t>
        </is>
      </c>
    </row>
    <row r="792">
      <c r="A792" s="9" t="inlineStr">
        <is>
          <t>Checking ...0861</t>
        </is>
      </c>
      <c r="B792" s="29" t="n">
        <v>46168</v>
      </c>
      <c r="C792" s="9" t="inlineStr">
        <is>
          <t>UBER   *TRIP HELP.UBER.COM CA                05/24</t>
        </is>
      </c>
      <c r="D792" s="10" t="n">
        <v>-5</v>
      </c>
      <c r="E792" s="9" t="inlineStr">
        <is>
          <t>DEBIT_CARD</t>
        </is>
      </c>
      <c r="F792" s="10" t="n">
        <v>61380.52</v>
      </c>
      <c r="G792" s="9" t="inlineStr">
        <is>
          <t>Others</t>
        </is>
      </c>
      <c r="H792">
        <f>IFERROR(INDEX(Categories!$A$5:$A$93,MATCH(G792,Categories!$B$5:$B$93,0)),"")</f>
        <v/>
      </c>
      <c r="I792" s="9" t="inlineStr">
        <is>
          <t>R</t>
        </is>
      </c>
      <c r="J792" s="9" t="inlineStr">
        <is>
          <t>Rideshare or Venmo payment - no matching category, and Venmo recipient is unclear</t>
        </is>
      </c>
    </row>
    <row r="793">
      <c r="A793" s="9" t="inlineStr">
        <is>
          <t>Checking ...0861</t>
        </is>
      </c>
      <c r="B793" s="29" t="n">
        <v>46168</v>
      </c>
      <c r="C793" s="9" t="inlineStr">
        <is>
          <t>UBER   *TRIP HELP.UBER.COM CA                05/24</t>
        </is>
      </c>
      <c r="D793" s="10" t="n">
        <v>-41.98</v>
      </c>
      <c r="E793" s="9" t="inlineStr">
        <is>
          <t>DEBIT_CARD</t>
        </is>
      </c>
      <c r="F793" s="10" t="n">
        <v>61385.52</v>
      </c>
      <c r="G793" s="9" t="inlineStr">
        <is>
          <t>Others</t>
        </is>
      </c>
      <c r="H793">
        <f>IFERROR(INDEX(Categories!$A$5:$A$93,MATCH(G793,Categories!$B$5:$B$93,0)),"")</f>
        <v/>
      </c>
      <c r="I793" s="9" t="inlineStr">
        <is>
          <t>R</t>
        </is>
      </c>
      <c r="J793" s="9" t="inlineStr">
        <is>
          <t>Rideshare or Venmo payment - no matching category, and Venmo recipient is unclear</t>
        </is>
      </c>
    </row>
    <row r="794">
      <c r="A794" s="9" t="inlineStr">
        <is>
          <t>Checking ...0861</t>
        </is>
      </c>
      <c r="B794" s="29" t="n">
        <v>46168</v>
      </c>
      <c r="C794" s="9" t="inlineStr">
        <is>
          <t>GOLDEN NUGGET HOTEL LV 7023857111 NV         05/26</t>
        </is>
      </c>
      <c r="D794" s="10" t="n">
        <v>-51.98</v>
      </c>
      <c r="E794" s="9" t="inlineStr">
        <is>
          <t>DEBIT_CARD</t>
        </is>
      </c>
      <c r="F794" s="10" t="n">
        <v>61427.5</v>
      </c>
      <c r="G794" s="9" t="inlineStr">
        <is>
          <t>Food - Eat Out</t>
        </is>
      </c>
      <c r="H794">
        <f>IFERROR(INDEX(Categories!$A$5:$A$93,MATCH(G794,Categories!$B$5:$B$93,0)),"")</f>
        <v/>
      </c>
      <c r="I794" s="9" t="inlineStr">
        <is>
          <t>D</t>
        </is>
      </c>
      <c r="J794" s="9" t="inlineStr"/>
    </row>
    <row r="795">
      <c r="A795" s="9" t="inlineStr">
        <is>
          <t>Checking ...0861</t>
        </is>
      </c>
      <c r="B795" s="29" t="n">
        <v>46168</v>
      </c>
      <c r="C795" s="9" t="inlineStr">
        <is>
          <t>FREDDY'S 100-0001 BARSTOW CA                 05/23</t>
        </is>
      </c>
      <c r="D795" s="10" t="n">
        <v>-7.71</v>
      </c>
      <c r="E795" s="9" t="inlineStr">
        <is>
          <t>DEBIT_CARD</t>
        </is>
      </c>
      <c r="F795" s="10" t="n">
        <v>61479.48</v>
      </c>
      <c r="G795" s="9" t="inlineStr">
        <is>
          <t>Food - Eat Out</t>
        </is>
      </c>
      <c r="H795">
        <f>IFERROR(INDEX(Categories!$A$5:$A$93,MATCH(G795,Categories!$B$5:$B$93,0)),"")</f>
        <v/>
      </c>
      <c r="I795" s="9" t="inlineStr">
        <is>
          <t>D</t>
        </is>
      </c>
      <c r="J795" s="9" t="inlineStr">
        <is>
          <t>Restaurant/fast-food - defaulted to Eat Out; move to Food - Ailynn/Chris/Misc if you know whose order it was</t>
        </is>
      </c>
    </row>
    <row r="796">
      <c r="A796" s="9" t="inlineStr">
        <is>
          <t>Checking ...0861</t>
        </is>
      </c>
      <c r="B796" s="29" t="n">
        <v>46168</v>
      </c>
      <c r="C796" s="9" t="inlineStr">
        <is>
          <t>CHEVRON 0371739 BAKERSFIELD CA               05/23</t>
        </is>
      </c>
      <c r="D796" s="10" t="n">
        <v>-30.62</v>
      </c>
      <c r="E796" s="9" t="inlineStr">
        <is>
          <t>DEBIT_CARD</t>
        </is>
      </c>
      <c r="F796" s="10" t="n">
        <v>61487.19</v>
      </c>
      <c r="G796" s="9" t="inlineStr">
        <is>
          <t>Gas</t>
        </is>
      </c>
      <c r="H796">
        <f>IFERROR(INDEX(Categories!$A$5:$A$93,MATCH(G796,Categories!$B$5:$B$93,0)),"")</f>
        <v/>
      </c>
      <c r="I796" s="9" t="inlineStr">
        <is>
          <t>D</t>
        </is>
      </c>
      <c r="J796" s="9" t="inlineStr"/>
    </row>
    <row r="797">
      <c r="A797" s="9" t="inlineStr">
        <is>
          <t>Checking ...0861</t>
        </is>
      </c>
      <c r="B797" s="29" t="n">
        <v>46168</v>
      </c>
      <c r="C797" s="9" t="inlineStr">
        <is>
          <t>CHEVRON 0357728 BAKERSFIELD CA               05/23</t>
        </is>
      </c>
      <c r="D797" s="10" t="n">
        <v>-13.36</v>
      </c>
      <c r="E797" s="9" t="inlineStr">
        <is>
          <t>DEBIT_CARD</t>
        </is>
      </c>
      <c r="F797" s="10" t="n">
        <v>61517.81</v>
      </c>
      <c r="G797" s="9" t="inlineStr">
        <is>
          <t>Gas</t>
        </is>
      </c>
      <c r="H797">
        <f>IFERROR(INDEX(Categories!$A$5:$A$93,MATCH(G797,Categories!$B$5:$B$93,0)),"")</f>
        <v/>
      </c>
      <c r="I797" s="9" t="inlineStr">
        <is>
          <t>D</t>
        </is>
      </c>
      <c r="J797" s="9" t="inlineStr"/>
    </row>
    <row r="798">
      <c r="A798" s="9" t="inlineStr">
        <is>
          <t>Checking ...0861</t>
        </is>
      </c>
      <c r="B798" s="29" t="n">
        <v>46168</v>
      </c>
      <c r="C798" s="9" t="inlineStr">
        <is>
          <t>CHEVRON 0092133 COALINGA CA                  05/23</t>
        </is>
      </c>
      <c r="D798" s="10" t="n">
        <v>-34.28</v>
      </c>
      <c r="E798" s="9" t="inlineStr">
        <is>
          <t>DEBIT_CARD</t>
        </is>
      </c>
      <c r="F798" s="10" t="n">
        <v>61531.17</v>
      </c>
      <c r="G798" s="9" t="inlineStr">
        <is>
          <t>Gas</t>
        </is>
      </c>
      <c r="H798">
        <f>IFERROR(INDEX(Categories!$A$5:$A$93,MATCH(G798,Categories!$B$5:$B$93,0)),"")</f>
        <v/>
      </c>
      <c r="I798" s="9" t="inlineStr">
        <is>
          <t>D</t>
        </is>
      </c>
      <c r="J798" s="9" t="inlineStr"/>
    </row>
    <row r="799">
      <c r="A799" s="9" t="inlineStr">
        <is>
          <t>Checking ...0861</t>
        </is>
      </c>
      <c r="B799" s="29" t="n">
        <v>46168</v>
      </c>
      <c r="C799" s="9" t="inlineStr">
        <is>
          <t>WM SUPERCENTER #5751 SALINAS CA              05/22</t>
        </is>
      </c>
      <c r="D799" s="10" t="n">
        <v>-18.55</v>
      </c>
      <c r="E799" s="9" t="inlineStr">
        <is>
          <t>DEBIT_CARD</t>
        </is>
      </c>
      <c r="F799" s="10" t="n">
        <v>61565.45</v>
      </c>
      <c r="G799" s="9" t="inlineStr">
        <is>
          <t>Groceries - Walmart</t>
        </is>
      </c>
      <c r="H799">
        <f>IFERROR(INDEX(Categories!$A$5:$A$93,MATCH(G799,Categories!$B$5:$B$93,0)),"")</f>
        <v/>
      </c>
      <c r="I799" s="9" t="inlineStr">
        <is>
          <t>H</t>
        </is>
      </c>
      <c r="J799" s="9" t="inlineStr"/>
    </row>
    <row r="800">
      <c r="A800" s="9" t="inlineStr">
        <is>
          <t>Checking ...0861</t>
        </is>
      </c>
      <c r="B800" s="29" t="n">
        <v>46168</v>
      </c>
      <c r="C800" s="9" t="inlineStr">
        <is>
          <t>TARGET T-0676 SALINAS CA                     05/22</t>
        </is>
      </c>
      <c r="D800" s="10" t="n">
        <v>-5.46</v>
      </c>
      <c r="E800" s="9" t="inlineStr">
        <is>
          <t>DEBIT_CARD</t>
        </is>
      </c>
      <c r="F800" s="10" t="n">
        <v>61584</v>
      </c>
      <c r="G800" s="9" t="inlineStr">
        <is>
          <t>Shop - Others</t>
        </is>
      </c>
      <c r="H800">
        <f>IFERROR(INDEX(Categories!$A$5:$A$93,MATCH(G800,Categories!$B$5:$B$93,0)),"")</f>
        <v/>
      </c>
      <c r="I800" s="9" t="inlineStr">
        <is>
          <t>D</t>
        </is>
      </c>
      <c r="J800" s="9" t="inlineStr"/>
    </row>
    <row r="801">
      <c r="A801" s="9" t="inlineStr">
        <is>
          <t>Checking ...0861</t>
        </is>
      </c>
      <c r="B801" s="29" t="n">
        <v>46168</v>
      </c>
      <c r="C801" s="9" t="inlineStr">
        <is>
          <t>TARGET T-0676 SALINAS CA                     05/22</t>
        </is>
      </c>
      <c r="D801" s="10" t="n">
        <v>-29.05</v>
      </c>
      <c r="E801" s="9" t="inlineStr">
        <is>
          <t>DEBIT_CARD</t>
        </is>
      </c>
      <c r="F801" s="10" t="n">
        <v>61589.46</v>
      </c>
      <c r="G801" s="9" t="inlineStr">
        <is>
          <t>Shop - Others</t>
        </is>
      </c>
      <c r="H801">
        <f>IFERROR(INDEX(Categories!$A$5:$A$93,MATCH(G801,Categories!$B$5:$B$93,0)),"")</f>
        <v/>
      </c>
      <c r="I801" s="9" t="inlineStr">
        <is>
          <t>D</t>
        </is>
      </c>
      <c r="J801" s="9" t="inlineStr"/>
    </row>
    <row r="802">
      <c r="A802" s="9" t="inlineStr">
        <is>
          <t>Checking ...0861</t>
        </is>
      </c>
      <c r="B802" s="29" t="n">
        <v>46168</v>
      </c>
      <c r="C802" s="9" t="inlineStr">
        <is>
          <t>MCDONALD'S F2428 SALINAS CA                  05/22</t>
        </is>
      </c>
      <c r="D802" s="10" t="n">
        <v>-40.8</v>
      </c>
      <c r="E802" s="9" t="inlineStr">
        <is>
          <t>DEBIT_CARD</t>
        </is>
      </c>
      <c r="F802" s="10" t="n">
        <v>61618.51</v>
      </c>
      <c r="G802" s="9" t="inlineStr">
        <is>
          <t>Food - Eat Out</t>
        </is>
      </c>
      <c r="H802">
        <f>IFERROR(INDEX(Categories!$A$5:$A$93,MATCH(G802,Categories!$B$5:$B$93,0)),"")</f>
        <v/>
      </c>
      <c r="I802" s="9" t="inlineStr">
        <is>
          <t>D</t>
        </is>
      </c>
      <c r="J802" s="9" t="inlineStr">
        <is>
          <t>Restaurant/fast-food - defaulted to Eat Out; move to Food - Ailynn/Chris/Misc if you know whose order it was</t>
        </is>
      </c>
    </row>
    <row r="803">
      <c r="A803" s="9" t="inlineStr">
        <is>
          <t>Checking ...0861</t>
        </is>
      </c>
      <c r="B803" s="29" t="n">
        <v>46168</v>
      </c>
      <c r="C803" s="9" t="inlineStr">
        <is>
          <t>GOOGLE *Life360 Stay 855-836-3987 CA         05/23</t>
        </is>
      </c>
      <c r="D803" s="10" t="n">
        <v>-13.79</v>
      </c>
      <c r="E803" s="9" t="inlineStr">
        <is>
          <t>DEBIT_CARD</t>
        </is>
      </c>
      <c r="F803" s="10" t="n">
        <v>61659.31</v>
      </c>
      <c r="G803" s="9" t="inlineStr">
        <is>
          <t>Life 360</t>
        </is>
      </c>
      <c r="H803">
        <f>IFERROR(INDEX(Categories!$A$5:$A$93,MATCH(G803,Categories!$B$5:$B$93,0)),"")</f>
        <v/>
      </c>
      <c r="I803" s="9" t="inlineStr">
        <is>
          <t>H</t>
        </is>
      </c>
      <c r="J803" s="9" t="inlineStr"/>
    </row>
    <row r="804">
      <c r="A804" s="9" t="inlineStr">
        <is>
          <t>Checking ...0861</t>
        </is>
      </c>
      <c r="B804" s="29" t="n">
        <v>46168</v>
      </c>
      <c r="C804" s="9" t="inlineStr">
        <is>
          <t>STARBUCKS 8007827282 800-782-7282 WA         05/22</t>
        </is>
      </c>
      <c r="D804" s="10" t="n">
        <v>-25</v>
      </c>
      <c r="E804" s="9" t="inlineStr">
        <is>
          <t>DEBIT_CARD</t>
        </is>
      </c>
      <c r="F804" s="10" t="n">
        <v>61673.1</v>
      </c>
      <c r="G804" s="9" t="inlineStr">
        <is>
          <t>Food - Eat Out</t>
        </is>
      </c>
      <c r="H804">
        <f>IFERROR(INDEX(Categories!$A$5:$A$93,MATCH(G804,Categories!$B$5:$B$93,0)),"")</f>
        <v/>
      </c>
      <c r="I804" s="9" t="inlineStr">
        <is>
          <t>D</t>
        </is>
      </c>
      <c r="J804" s="9" t="inlineStr">
        <is>
          <t>Restaurant/fast-food - defaulted to Eat Out; move to Food - Ailynn/Chris/Misc if you know whose order it was</t>
        </is>
      </c>
    </row>
    <row r="805">
      <c r="A805" s="9" t="inlineStr">
        <is>
          <t>Checking ...0861</t>
        </is>
      </c>
      <c r="B805" s="29" t="n">
        <v>46168</v>
      </c>
      <c r="C805" s="9" t="inlineStr">
        <is>
          <t>KLARNA* KLARNA KLARNA.COM OH                 05/22</t>
        </is>
      </c>
      <c r="D805" s="10" t="n">
        <v>-17.64</v>
      </c>
      <c r="E805" s="9" t="inlineStr">
        <is>
          <t>DEBIT_CARD</t>
        </is>
      </c>
      <c r="F805" s="10" t="n">
        <v>61698.1</v>
      </c>
      <c r="G805" s="9" t="inlineStr">
        <is>
          <t>Klarna</t>
        </is>
      </c>
      <c r="H805">
        <f>IFERROR(INDEX(Categories!$A$5:$A$93,MATCH(G805,Categories!$B$5:$B$93,0)),"")</f>
        <v/>
      </c>
      <c r="I805" s="9" t="inlineStr">
        <is>
          <t>H</t>
        </is>
      </c>
      <c r="J805" s="9" t="inlineStr"/>
    </row>
    <row r="806">
      <c r="A806" s="9" t="inlineStr">
        <is>
          <t>Checking ...0861</t>
        </is>
      </c>
      <c r="B806" s="29" t="n">
        <v>46168</v>
      </c>
      <c r="C806" s="9" t="inlineStr">
        <is>
          <t>LING NAM NOODLE HOUSE - DALY CITY CA         05/22</t>
        </is>
      </c>
      <c r="D806" s="10" t="n">
        <v>-42.43</v>
      </c>
      <c r="E806" s="9" t="inlineStr">
        <is>
          <t>DEBIT_CARD</t>
        </is>
      </c>
      <c r="F806" s="10" t="n">
        <v>61715.74</v>
      </c>
      <c r="G806" s="9" t="inlineStr">
        <is>
          <t>Food - Eat Out</t>
        </is>
      </c>
      <c r="H806">
        <f>IFERROR(INDEX(Categories!$A$5:$A$93,MATCH(G806,Categories!$B$5:$B$93,0)),"")</f>
        <v/>
      </c>
      <c r="I806" s="9" t="inlineStr">
        <is>
          <t>D</t>
        </is>
      </c>
      <c r="J806" s="9" t="inlineStr">
        <is>
          <t>Restaurant/fast-food - defaulted to Eat Out; move to Food - Ailynn/Chris/Misc if you know whose order it was</t>
        </is>
      </c>
    </row>
    <row r="807">
      <c r="A807" s="9" t="inlineStr">
        <is>
          <t>Checking ...0861</t>
        </is>
      </c>
      <c r="B807" s="29" t="n">
        <v>46168</v>
      </c>
      <c r="C807" s="9" t="inlineStr">
        <is>
          <t>CAFE COLMA 650-7582237 CA                    05/21</t>
        </is>
      </c>
      <c r="D807" s="10" t="n">
        <v>-239.26</v>
      </c>
      <c r="E807" s="9" t="inlineStr">
        <is>
          <t>DEBIT_CARD</t>
        </is>
      </c>
      <c r="F807" s="10" t="n">
        <v>61758.17</v>
      </c>
      <c r="G807" s="9" t="inlineStr">
        <is>
          <t>Food - Eat Out</t>
        </is>
      </c>
      <c r="H807">
        <f>IFERROR(INDEX(Categories!$A$5:$A$93,MATCH(G807,Categories!$B$5:$B$93,0)),"")</f>
        <v/>
      </c>
      <c r="I807" s="9" t="inlineStr">
        <is>
          <t>D</t>
        </is>
      </c>
      <c r="J807" s="9" t="inlineStr">
        <is>
          <t>Restaurant/fast-food - defaulted to Eat Out; move to Food - Ailynn/Chris/Misc if you know whose order it was</t>
        </is>
      </c>
    </row>
    <row r="808">
      <c r="A808" s="9" t="inlineStr">
        <is>
          <t>Checking ...0861</t>
        </is>
      </c>
      <c r="B808" s="29" t="n">
        <v>46168</v>
      </c>
      <c r="C808" s="9" t="inlineStr">
        <is>
          <t>Zelle payment from RHIAN ABIGAIL ALMO 29329235741</t>
        </is>
      </c>
      <c r="D808" s="10" t="n">
        <v>18</v>
      </c>
      <c r="E808" s="9" t="inlineStr">
        <is>
          <t>QUICKPAY_CREDIT</t>
        </is>
      </c>
      <c r="F808" s="10" t="n">
        <v>61997.43</v>
      </c>
      <c r="G808" s="9" t="inlineStr">
        <is>
          <t>Others - Income</t>
        </is>
      </c>
      <c r="H808">
        <f>IFERROR(INDEX(Categories!$A$5:$A$93,MATCH(G808,Categories!$B$5:$B$93,0)),"")</f>
        <v/>
      </c>
      <c r="I808" s="9" t="inlineStr">
        <is>
          <t>R</t>
        </is>
      </c>
      <c r="J808" s="9" t="inlineStr">
        <is>
          <t>Zelle received - please tell me who this person is so I can map them to a category</t>
        </is>
      </c>
    </row>
    <row r="809">
      <c r="A809" s="9" t="inlineStr">
        <is>
          <t>Checking ...0861</t>
        </is>
      </c>
      <c r="B809" s="29" t="n">
        <v>46168</v>
      </c>
      <c r="C809" s="9" t="inlineStr">
        <is>
          <t>Zelle payment from RHIAN ABIGAIL ALMO 29367490138</t>
        </is>
      </c>
      <c r="D809" s="10" t="n">
        <v>28.1</v>
      </c>
      <c r="E809" s="9" t="inlineStr">
        <is>
          <t>QUICKPAY_CREDIT</t>
        </is>
      </c>
      <c r="F809" s="10" t="n">
        <v>61979.43</v>
      </c>
      <c r="G809" s="9" t="inlineStr">
        <is>
          <t>Others - Income</t>
        </is>
      </c>
      <c r="H809">
        <f>IFERROR(INDEX(Categories!$A$5:$A$93,MATCH(G809,Categories!$B$5:$B$93,0)),"")</f>
        <v/>
      </c>
      <c r="I809" s="9" t="inlineStr">
        <is>
          <t>R</t>
        </is>
      </c>
      <c r="J809" s="9" t="inlineStr">
        <is>
          <t>Zelle received - please tell me who this person is so I can map them to a category</t>
        </is>
      </c>
    </row>
    <row r="810">
      <c r="A810" s="9" t="inlineStr">
        <is>
          <t>Checking ...0861</t>
        </is>
      </c>
      <c r="B810" s="29" t="n">
        <v>46168</v>
      </c>
      <c r="C810" s="9" t="inlineStr">
        <is>
          <t>AMAZON MARKETPLA ADJUSTMENT                 PPD ID: 9049016352</t>
        </is>
      </c>
      <c r="D810" s="10" t="n">
        <v>75.34999999999999</v>
      </c>
      <c r="E810" s="9" t="inlineStr">
        <is>
          <t>ACH_CREDIT</t>
        </is>
      </c>
      <c r="F810" s="10" t="n">
        <v>61951.33</v>
      </c>
      <c r="G810" s="9" t="inlineStr">
        <is>
          <t>Shop - Amazon returns</t>
        </is>
      </c>
      <c r="H810">
        <f>IFERROR(INDEX(Categories!$A$5:$A$93,MATCH(G810,Categories!$B$5:$B$93,0)),"")</f>
        <v/>
      </c>
      <c r="I810" s="9" t="inlineStr">
        <is>
          <t>H</t>
        </is>
      </c>
      <c r="J810" s="9" t="inlineStr"/>
    </row>
    <row r="811">
      <c r="A811" s="9" t="inlineStr">
        <is>
          <t>Checking ...0861</t>
        </is>
      </c>
      <c r="B811" s="29" t="n">
        <v>46168</v>
      </c>
      <c r="C811" s="9" t="inlineStr">
        <is>
          <t>Zelle payment from ANGELYNN FLORA PNCAA0aPw43Y</t>
        </is>
      </c>
      <c r="D811" s="10" t="n">
        <v>245</v>
      </c>
      <c r="E811" s="9" t="inlineStr">
        <is>
          <t>PARTNERFI_TO_CHASE</t>
        </is>
      </c>
      <c r="F811" s="10" t="n">
        <v>61875.98</v>
      </c>
      <c r="G811" s="9" t="inlineStr">
        <is>
          <t>Others - Income</t>
        </is>
      </c>
      <c r="H811">
        <f>IFERROR(INDEX(Categories!$A$5:$A$93,MATCH(G811,Categories!$B$5:$B$93,0)),"")</f>
        <v/>
      </c>
      <c r="I811" s="9" t="inlineStr">
        <is>
          <t>R</t>
        </is>
      </c>
      <c r="J811" s="9" t="inlineStr">
        <is>
          <t>Zelle received - please tell me who this person is so I can map them to a category</t>
        </is>
      </c>
    </row>
    <row r="812">
      <c r="A812" s="9" t="inlineStr">
        <is>
          <t>Checking ...0861</t>
        </is>
      </c>
      <c r="B812" s="29" t="n">
        <v>46164</v>
      </c>
      <c r="C812" s="9" t="inlineStr">
        <is>
          <t>PAYPAL           TRANSFER   ADD TO BALANCE  WEB ID: PAYPALSD22</t>
        </is>
      </c>
      <c r="D812" s="10" t="n">
        <v>-50</v>
      </c>
      <c r="E812" s="9" t="inlineStr">
        <is>
          <t>ACH_DEBIT</t>
        </is>
      </c>
      <c r="F812" s="10" t="n">
        <v>61630.98</v>
      </c>
      <c r="G812" s="9" t="inlineStr">
        <is>
          <t>Transfer - Checking to PayPal</t>
        </is>
      </c>
      <c r="H812">
        <f>IFERROR(INDEX(Categories!$A$5:$A$93,MATCH(G812,Categories!$B$5:$B$93,0)),"")</f>
        <v/>
      </c>
      <c r="I812" s="9" t="inlineStr">
        <is>
          <t>H</t>
        </is>
      </c>
      <c r="J812" s="9" t="inlineStr"/>
    </row>
    <row r="813">
      <c r="A813" s="9" t="inlineStr">
        <is>
          <t>Checking ...0861</t>
        </is>
      </c>
      <c r="B813" s="29" t="n">
        <v>46164</v>
      </c>
      <c r="C813" s="9" t="inlineStr">
        <is>
          <t>SP+AFF * NORTH ALPINE 855-423-3729 CA        05/22</t>
        </is>
      </c>
      <c r="D813" s="10" t="n">
        <v>-17.43</v>
      </c>
      <c r="E813" s="9" t="inlineStr">
        <is>
          <t>DEBIT_CARD</t>
        </is>
      </c>
      <c r="F813" s="10" t="n">
        <v>61680.98</v>
      </c>
      <c r="G813" s="9" t="inlineStr">
        <is>
          <t>Shop - Others</t>
        </is>
      </c>
      <c r="H813">
        <f>IFERROR(INDEX(Categories!$A$5:$A$93,MATCH(G813,Categories!$B$5:$B$93,0)),"")</f>
        <v/>
      </c>
      <c r="I813" s="9" t="inlineStr">
        <is>
          <t>R</t>
        </is>
      </c>
      <c r="J813" s="9" t="inlineStr">
        <is>
          <t>Small online-shop charge via an affiliate/Affirm-style processor - description doesn't name the actual store</t>
        </is>
      </c>
    </row>
    <row r="814">
      <c r="A814" s="9" t="inlineStr">
        <is>
          <t>Checking ...0861</t>
        </is>
      </c>
      <c r="B814" s="29" t="n">
        <v>46164</v>
      </c>
      <c r="C814" s="9" t="inlineStr">
        <is>
          <t>Online Transfer to  SAV ...5953 transaction#: 29226554480</t>
        </is>
      </c>
      <c r="D814" s="10" t="n">
        <v>-25</v>
      </c>
      <c r="E814" s="9" t="inlineStr">
        <is>
          <t>ACCT_XFER</t>
        </is>
      </c>
      <c r="F814" s="10" t="n">
        <v>61698.41</v>
      </c>
      <c r="G814" s="9" t="inlineStr">
        <is>
          <t>Transfer - Checking to Savings</t>
        </is>
      </c>
      <c r="H814">
        <f>IFERROR(INDEX(Categories!$A$5:$A$93,MATCH(G814,Categories!$B$5:$B$93,0)),"")</f>
        <v/>
      </c>
      <c r="I814" s="9" t="inlineStr">
        <is>
          <t>H</t>
        </is>
      </c>
      <c r="J814" s="9" t="inlineStr"/>
    </row>
    <row r="815">
      <c r="A815" s="9" t="inlineStr">
        <is>
          <t>Checking ...0861</t>
        </is>
      </c>
      <c r="B815" s="29" t="n">
        <v>46164</v>
      </c>
      <c r="C815" s="9" t="inlineStr">
        <is>
          <t>CSAA INSURANCE   BILLPAY                    PPD ID: 0000000160</t>
        </is>
      </c>
      <c r="D815" s="10" t="n">
        <v>-190.62</v>
      </c>
      <c r="E815" s="9" t="inlineStr">
        <is>
          <t>ACH_DEBIT</t>
        </is>
      </c>
      <c r="F815" s="10" t="n">
        <v>61723.41</v>
      </c>
      <c r="G815" s="9" t="inlineStr">
        <is>
          <t>Car insurance</t>
        </is>
      </c>
      <c r="H815">
        <f>IFERROR(INDEX(Categories!$A$5:$A$93,MATCH(G815,Categories!$B$5:$B$93,0)),"")</f>
        <v/>
      </c>
      <c r="I815" s="9" t="inlineStr">
        <is>
          <t>H</t>
        </is>
      </c>
      <c r="J815" s="9" t="inlineStr"/>
    </row>
    <row r="816">
      <c r="A816" s="9" t="inlineStr">
        <is>
          <t>Checking ...0861</t>
        </is>
      </c>
      <c r="B816" s="29" t="n">
        <v>46164</v>
      </c>
      <c r="C816" s="9" t="inlineStr">
        <is>
          <t>PAYPAL *PYPL PAYIN4 402-935-7733 CA          05/22</t>
        </is>
      </c>
      <c r="D816" s="10" t="n">
        <v>-68.04000000000001</v>
      </c>
      <c r="E816" s="9" t="inlineStr">
        <is>
          <t>DEBIT_CARD</t>
        </is>
      </c>
      <c r="F816" s="10" t="n">
        <v>61914.03</v>
      </c>
      <c r="G816" s="9" t="inlineStr">
        <is>
          <t>Paypal pay in 4</t>
        </is>
      </c>
      <c r="H816">
        <f>IFERROR(INDEX(Categories!$A$5:$A$93,MATCH(G816,Categories!$B$5:$B$93,0)),"")</f>
        <v/>
      </c>
      <c r="I816" s="9" t="inlineStr">
        <is>
          <t>H</t>
        </is>
      </c>
      <c r="J816" s="9" t="inlineStr"/>
    </row>
    <row r="817">
      <c r="A817" s="9" t="inlineStr">
        <is>
          <t>Checking ...0861</t>
        </is>
      </c>
      <c r="B817" s="29" t="n">
        <v>46164</v>
      </c>
      <c r="C817" s="9" t="inlineStr">
        <is>
          <t>Primo Water Corporatio Vista CA              05/22</t>
        </is>
      </c>
      <c r="D817" s="10" t="n">
        <v>-3.1</v>
      </c>
      <c r="E817" s="9" t="inlineStr">
        <is>
          <t>DEBIT_CARD</t>
        </is>
      </c>
      <c r="F817" s="10" t="n">
        <v>61982.07</v>
      </c>
      <c r="G817" s="9" t="inlineStr">
        <is>
          <t>Water</t>
        </is>
      </c>
      <c r="H817">
        <f>IFERROR(INDEX(Categories!$A$5:$A$93,MATCH(G817,Categories!$B$5:$B$93,0)),"")</f>
        <v/>
      </c>
      <c r="I817" s="9" t="inlineStr">
        <is>
          <t>H</t>
        </is>
      </c>
      <c r="J817" s="9" t="inlineStr"/>
    </row>
    <row r="818">
      <c r="A818" s="9" t="inlineStr">
        <is>
          <t>Checking ...0861</t>
        </is>
      </c>
      <c r="B818" s="29" t="n">
        <v>46164</v>
      </c>
      <c r="C818" s="9" t="inlineStr">
        <is>
          <t>EXXON SALINAS MAIN INC SALINAS CA            05/21</t>
        </is>
      </c>
      <c r="D818" s="10" t="n">
        <v>-83.39</v>
      </c>
      <c r="E818" s="9" t="inlineStr">
        <is>
          <t>DEBIT_CARD</t>
        </is>
      </c>
      <c r="F818" s="10" t="n">
        <v>61985.17</v>
      </c>
      <c r="G818" s="9" t="inlineStr">
        <is>
          <t>Gas</t>
        </is>
      </c>
      <c r="H818">
        <f>IFERROR(INDEX(Categories!$A$5:$A$93,MATCH(G818,Categories!$B$5:$B$93,0)),"")</f>
        <v/>
      </c>
      <c r="I818" s="9" t="inlineStr">
        <is>
          <t>D</t>
        </is>
      </c>
      <c r="J818" s="9" t="inlineStr"/>
    </row>
    <row r="819">
      <c r="A819" s="9" t="inlineStr">
        <is>
          <t>Checking ...0861</t>
        </is>
      </c>
      <c r="B819" s="29" t="n">
        <v>46164</v>
      </c>
      <c r="C819" s="9" t="inlineStr">
        <is>
          <t>ACME CAR WASH CO. SALINAS CA                 05/21</t>
        </is>
      </c>
      <c r="D819" s="10" t="n">
        <v>-22.99</v>
      </c>
      <c r="E819" s="9" t="inlineStr">
        <is>
          <t>DEBIT_CARD</t>
        </is>
      </c>
      <c r="F819" s="10" t="n">
        <v>62068.56</v>
      </c>
      <c r="G819" s="9" t="inlineStr">
        <is>
          <t>For Car</t>
        </is>
      </c>
      <c r="H819">
        <f>IFERROR(INDEX(Categories!$A$5:$A$93,MATCH(G819,Categories!$B$5:$B$93,0)),"")</f>
        <v/>
      </c>
      <c r="I819" s="9" t="inlineStr">
        <is>
          <t>D</t>
        </is>
      </c>
      <c r="J819" s="9" t="inlineStr"/>
    </row>
    <row r="820">
      <c r="A820" s="9" t="inlineStr">
        <is>
          <t>Checking ...0861</t>
        </is>
      </c>
      <c r="B820" s="29" t="n">
        <v>46164</v>
      </c>
      <c r="C820" s="9" t="inlineStr">
        <is>
          <t>THE UPS STORE 7054 831-7899400 CA            05/21</t>
        </is>
      </c>
      <c r="D820" s="10" t="n">
        <v>-20.07</v>
      </c>
      <c r="E820" s="9" t="inlineStr">
        <is>
          <t>DEBIT_CARD</t>
        </is>
      </c>
      <c r="F820" s="10" t="n">
        <v>62091.55</v>
      </c>
      <c r="G820" s="9" t="inlineStr">
        <is>
          <t>Others</t>
        </is>
      </c>
      <c r="H820">
        <f>IFERROR(INDEX(Categories!$A$5:$A$93,MATCH(G820,Categories!$B$5:$B$93,0)),"")</f>
        <v/>
      </c>
      <c r="I820" s="9" t="inlineStr">
        <is>
          <t>D</t>
        </is>
      </c>
      <c r="J820" s="9" t="inlineStr">
        <is>
          <t>Shipping/postal</t>
        </is>
      </c>
    </row>
    <row r="821">
      <c r="A821" s="9" t="inlineStr">
        <is>
          <t>Checking ...0861</t>
        </is>
      </c>
      <c r="B821" s="29" t="n">
        <v>46164</v>
      </c>
      <c r="C821" s="9" t="inlineStr">
        <is>
          <t>Zelle payment from Katrina T Perez USB6O3ys85nk</t>
        </is>
      </c>
      <c r="D821" s="10" t="n">
        <v>28.74</v>
      </c>
      <c r="E821" s="9" t="inlineStr">
        <is>
          <t>PARTNERFI_TO_CHASE</t>
        </is>
      </c>
      <c r="F821" s="10" t="n">
        <v>62111.62</v>
      </c>
      <c r="G821" s="9" t="inlineStr">
        <is>
          <t>Others - Income</t>
        </is>
      </c>
      <c r="H821">
        <f>IFERROR(INDEX(Categories!$A$5:$A$93,MATCH(G821,Categories!$B$5:$B$93,0)),"")</f>
        <v/>
      </c>
      <c r="I821" s="9" t="inlineStr">
        <is>
          <t>R</t>
        </is>
      </c>
      <c r="J821" s="9" t="inlineStr">
        <is>
          <t>Zelle received - please tell me who this person is so I can map them to a category</t>
        </is>
      </c>
    </row>
    <row r="822">
      <c r="A822" s="9" t="inlineStr">
        <is>
          <t>Checking ...0861</t>
        </is>
      </c>
      <c r="B822" s="29" t="n">
        <v>46163</v>
      </c>
      <c r="C822" s="9" t="inlineStr">
        <is>
          <t>STEVE'S FILIPINO ASIAN SALINAS CA            05/20</t>
        </is>
      </c>
      <c r="D822" s="10" t="n">
        <v>-42.49</v>
      </c>
      <c r="E822" s="9" t="inlineStr">
        <is>
          <t>DEBIT_CARD</t>
        </is>
      </c>
      <c r="F822" s="10" t="n">
        <v>62082.88</v>
      </c>
      <c r="G822" s="9" t="inlineStr">
        <is>
          <t>Groceries - Steves</t>
        </is>
      </c>
      <c r="H822">
        <f>IFERROR(INDEX(Categories!$A$5:$A$93,MATCH(G822,Categories!$B$5:$B$93,0)),"")</f>
        <v/>
      </c>
      <c r="I822" s="9" t="inlineStr">
        <is>
          <t>H</t>
        </is>
      </c>
      <c r="J822" s="9" t="inlineStr"/>
    </row>
    <row r="823">
      <c r="A823" s="9" t="inlineStr">
        <is>
          <t>Checking ...0861</t>
        </is>
      </c>
      <c r="B823" s="29" t="n">
        <v>46163</v>
      </c>
      <c r="C823" s="9" t="inlineStr">
        <is>
          <t>Primo Water Corporatio Vista CA              05/20</t>
        </is>
      </c>
      <c r="D823" s="10" t="n">
        <v>-3.1</v>
      </c>
      <c r="E823" s="9" t="inlineStr">
        <is>
          <t>DEBIT_CARD</t>
        </is>
      </c>
      <c r="F823" s="10" t="n">
        <v>62125.37</v>
      </c>
      <c r="G823" s="9" t="inlineStr">
        <is>
          <t>Water</t>
        </is>
      </c>
      <c r="H823">
        <f>IFERROR(INDEX(Categories!$A$5:$A$93,MATCH(G823,Categories!$B$5:$B$93,0)),"")</f>
        <v/>
      </c>
      <c r="I823" s="9" t="inlineStr">
        <is>
          <t>H</t>
        </is>
      </c>
      <c r="J823" s="9" t="inlineStr"/>
    </row>
    <row r="824">
      <c r="A824" s="9" t="inlineStr">
        <is>
          <t>Checking ...0861</t>
        </is>
      </c>
      <c r="B824" s="29" t="n">
        <v>46163</v>
      </c>
      <c r="C824" s="9" t="inlineStr">
        <is>
          <t>TAQUERIA VALLARTA FELTON CA                  05/20</t>
        </is>
      </c>
      <c r="D824" s="10" t="n">
        <v>-21.03</v>
      </c>
      <c r="E824" s="9" t="inlineStr">
        <is>
          <t>DEBIT_CARD</t>
        </is>
      </c>
      <c r="F824" s="10" t="n">
        <v>62128.47</v>
      </c>
      <c r="G824" s="9" t="inlineStr">
        <is>
          <t>Food - Eat Out</t>
        </is>
      </c>
      <c r="H824">
        <f>IFERROR(INDEX(Categories!$A$5:$A$93,MATCH(G824,Categories!$B$5:$B$93,0)),"")</f>
        <v/>
      </c>
      <c r="I824" s="9" t="inlineStr">
        <is>
          <t>D</t>
        </is>
      </c>
      <c r="J824" s="9" t="inlineStr">
        <is>
          <t>Restaurant/fast-food - defaulted to Eat Out; move to Food - Ailynn/Chris/Misc if you know whose order it was</t>
        </is>
      </c>
    </row>
    <row r="825">
      <c r="A825" s="9" t="inlineStr">
        <is>
          <t>Checking ...0861</t>
        </is>
      </c>
      <c r="B825" s="29" t="n">
        <v>46163</v>
      </c>
      <c r="C825" s="9" t="inlineStr">
        <is>
          <t>DIAMOND DENTAL OF SALIN SALINAS CA           05/19</t>
        </is>
      </c>
      <c r="D825" s="10" t="n">
        <v>-100</v>
      </c>
      <c r="E825" s="9" t="inlineStr">
        <is>
          <t>DEBIT_CARD</t>
        </is>
      </c>
      <c r="F825" s="10" t="n">
        <v>62149.5</v>
      </c>
      <c r="G825" s="9" t="inlineStr">
        <is>
          <t>Medical</t>
        </is>
      </c>
      <c r="H825">
        <f>IFERROR(INDEX(Categories!$A$5:$A$93,MATCH(G825,Categories!$B$5:$B$93,0)),"")</f>
        <v/>
      </c>
      <c r="I825" s="9" t="inlineStr">
        <is>
          <t>H</t>
        </is>
      </c>
      <c r="J825" s="9" t="inlineStr"/>
    </row>
    <row r="826">
      <c r="A826" s="9" t="inlineStr">
        <is>
          <t>Checking ...0861</t>
        </is>
      </c>
      <c r="B826" s="29" t="n">
        <v>46163</v>
      </c>
      <c r="C826" s="9" t="inlineStr">
        <is>
          <t>Zelle payment from Alvin Anthony Alonzo USAT9EYMHOWR</t>
        </is>
      </c>
      <c r="D826" s="10" t="n">
        <v>102</v>
      </c>
      <c r="E826" s="9" t="inlineStr">
        <is>
          <t>PARTNERFI_TO_CHASE</t>
        </is>
      </c>
      <c r="F826" s="10" t="n">
        <v>62249.5</v>
      </c>
      <c r="G826" s="9" t="inlineStr">
        <is>
          <t>Others - Income</t>
        </is>
      </c>
      <c r="H826">
        <f>IFERROR(INDEX(Categories!$A$5:$A$93,MATCH(G826,Categories!$B$5:$B$93,0)),"")</f>
        <v/>
      </c>
      <c r="I826" s="9" t="inlineStr">
        <is>
          <t>R</t>
        </is>
      </c>
      <c r="J826" s="9" t="inlineStr">
        <is>
          <t>Zelle received - please tell me who this person is so I can map them to a category</t>
        </is>
      </c>
    </row>
    <row r="827">
      <c r="A827" s="9" t="inlineStr">
        <is>
          <t>Checking ...0861</t>
        </is>
      </c>
      <c r="B827" s="29" t="n">
        <v>46163</v>
      </c>
      <c r="C827" s="9" t="inlineStr">
        <is>
          <t>Zelle payment from RHIAN ABIGAIL ALMO 29304080731</t>
        </is>
      </c>
      <c r="D827" s="10" t="n">
        <v>500</v>
      </c>
      <c r="E827" s="9" t="inlineStr">
        <is>
          <t>QUICKPAY_CREDIT</t>
        </is>
      </c>
      <c r="F827" s="10" t="n">
        <v>62147.5</v>
      </c>
      <c r="G827" s="9" t="inlineStr">
        <is>
          <t>Others - Income</t>
        </is>
      </c>
      <c r="H827">
        <f>IFERROR(INDEX(Categories!$A$5:$A$93,MATCH(G827,Categories!$B$5:$B$93,0)),"")</f>
        <v/>
      </c>
      <c r="I827" s="9" t="inlineStr">
        <is>
          <t>R</t>
        </is>
      </c>
      <c r="J827" s="9" t="inlineStr">
        <is>
          <t>Zelle received - please tell me who this person is so I can map them to a category</t>
        </is>
      </c>
    </row>
    <row r="828">
      <c r="A828" s="9" t="inlineStr">
        <is>
          <t>Checking ...0861</t>
        </is>
      </c>
      <c r="B828" s="29" t="n">
        <v>46162</v>
      </c>
      <c r="C828" s="9" t="inlineStr">
        <is>
          <t>PAYPAL           PURCHASE   TIKTOK SHOP     WEB ID: PAYPALSI77</t>
        </is>
      </c>
      <c r="D828" s="10" t="n">
        <v>-35.34</v>
      </c>
      <c r="E828" s="9" t="inlineStr">
        <is>
          <t>ACH_DEBIT</t>
        </is>
      </c>
      <c r="F828" s="10" t="n">
        <v>61647.5</v>
      </c>
      <c r="G828" s="9" t="inlineStr">
        <is>
          <t>paypal tiktok</t>
        </is>
      </c>
      <c r="H828">
        <f>IFERROR(INDEX(Categories!$A$5:$A$93,MATCH(G828,Categories!$B$5:$B$93,0)),"")</f>
        <v/>
      </c>
      <c r="I828" s="9" t="inlineStr">
        <is>
          <t>H</t>
        </is>
      </c>
      <c r="J828" s="9" t="inlineStr"/>
    </row>
    <row r="829">
      <c r="A829" s="9" t="inlineStr">
        <is>
          <t>Checking ...0861</t>
        </is>
      </c>
      <c r="B829" s="29" t="n">
        <v>46162</v>
      </c>
      <c r="C829" s="9" t="inlineStr">
        <is>
          <t>WAL-MART #5751 SALINAS CA                    05/20</t>
        </is>
      </c>
      <c r="D829" s="10" t="n">
        <v>-18.5</v>
      </c>
      <c r="E829" s="9" t="inlineStr">
        <is>
          <t>DEBIT_CARD</t>
        </is>
      </c>
      <c r="F829" s="10" t="n">
        <v>61682.84</v>
      </c>
      <c r="G829" s="9" t="inlineStr">
        <is>
          <t>Groceries - Walmart</t>
        </is>
      </c>
      <c r="H829">
        <f>IFERROR(INDEX(Categories!$A$5:$A$93,MATCH(G829,Categories!$B$5:$B$93,0)),"")</f>
        <v/>
      </c>
      <c r="I829" s="9" t="inlineStr">
        <is>
          <t>H</t>
        </is>
      </c>
      <c r="J829" s="9" t="inlineStr"/>
    </row>
    <row r="830">
      <c r="A830" s="9" t="inlineStr">
        <is>
          <t>Checking ...0861</t>
        </is>
      </c>
      <c r="B830" s="29" t="n">
        <v>46162</v>
      </c>
      <c r="C830" s="9" t="inlineStr">
        <is>
          <t>SALINAS SINCLAI SALINAS CA                   05/19</t>
        </is>
      </c>
      <c r="D830" s="10" t="n">
        <v>-91.16</v>
      </c>
      <c r="E830" s="9" t="inlineStr">
        <is>
          <t>DEBIT_CARD</t>
        </is>
      </c>
      <c r="F830" s="10" t="n">
        <v>61701.34</v>
      </c>
      <c r="G830" s="9" t="inlineStr">
        <is>
          <t>Gas</t>
        </is>
      </c>
      <c r="H830">
        <f>IFERROR(INDEX(Categories!$A$5:$A$93,MATCH(G830,Categories!$B$5:$B$93,0)),"")</f>
        <v/>
      </c>
      <c r="I830" s="9" t="inlineStr">
        <is>
          <t>D</t>
        </is>
      </c>
      <c r="J830" s="9" t="inlineStr"/>
    </row>
    <row r="831">
      <c r="A831" s="9" t="inlineStr">
        <is>
          <t>Checking ...0861</t>
        </is>
      </c>
      <c r="B831" s="29" t="n">
        <v>46162</v>
      </c>
      <c r="C831" s="9" t="inlineStr">
        <is>
          <t>STARBUCKS 8007827282 800-782-7282 WA         05/20</t>
        </is>
      </c>
      <c r="D831" s="10" t="n">
        <v>-25</v>
      </c>
      <c r="E831" s="9" t="inlineStr">
        <is>
          <t>DEBIT_CARD</t>
        </is>
      </c>
      <c r="F831" s="10" t="n">
        <v>61792.5</v>
      </c>
      <c r="G831" s="9" t="inlineStr">
        <is>
          <t>Food - Eat Out</t>
        </is>
      </c>
      <c r="H831">
        <f>IFERROR(INDEX(Categories!$A$5:$A$93,MATCH(G831,Categories!$B$5:$B$93,0)),"")</f>
        <v/>
      </c>
      <c r="I831" s="9" t="inlineStr">
        <is>
          <t>D</t>
        </is>
      </c>
      <c r="J831" s="9" t="inlineStr">
        <is>
          <t>Restaurant/fast-food - defaulted to Eat Out; move to Food - Ailynn/Chris/Misc if you know whose order it was</t>
        </is>
      </c>
    </row>
    <row r="832">
      <c r="A832" s="9" t="inlineStr">
        <is>
          <t>Checking ...0861</t>
        </is>
      </c>
      <c r="B832" s="29" t="n">
        <v>46162</v>
      </c>
      <c r="C832" s="9" t="inlineStr">
        <is>
          <t>TST* KLEINFELDT FAMILY SALINAS CA            05/20</t>
        </is>
      </c>
      <c r="D832" s="10" t="n">
        <v>-14.68</v>
      </c>
      <c r="E832" s="9" t="inlineStr">
        <is>
          <t>DEBIT_CARD</t>
        </is>
      </c>
      <c r="F832" s="10" t="n">
        <v>61817.5</v>
      </c>
      <c r="G832" s="9" t="inlineStr">
        <is>
          <t>Food - Eat Out</t>
        </is>
      </c>
      <c r="H832">
        <f>IFERROR(INDEX(Categories!$A$5:$A$93,MATCH(G832,Categories!$B$5:$B$93,0)),"")</f>
        <v/>
      </c>
      <c r="I832" s="9" t="inlineStr">
        <is>
          <t>D</t>
        </is>
      </c>
      <c r="J832" s="9" t="inlineStr"/>
    </row>
    <row r="833">
      <c r="A833" s="9" t="inlineStr">
        <is>
          <t>Checking ...0861</t>
        </is>
      </c>
      <c r="B833" s="29" t="n">
        <v>46162</v>
      </c>
      <c r="C833" s="9" t="inlineStr">
        <is>
          <t>TST* KLEINFELDT FAMILY SALINAS CA            05/20</t>
        </is>
      </c>
      <c r="D833" s="10" t="n">
        <v>-31.36</v>
      </c>
      <c r="E833" s="9" t="inlineStr">
        <is>
          <t>DEBIT_CARD</t>
        </is>
      </c>
      <c r="F833" s="10" t="n">
        <v>61832.18</v>
      </c>
      <c r="G833" s="9" t="inlineStr">
        <is>
          <t>Food - Eat Out</t>
        </is>
      </c>
      <c r="H833">
        <f>IFERROR(INDEX(Categories!$A$5:$A$93,MATCH(G833,Categories!$B$5:$B$93,0)),"")</f>
        <v/>
      </c>
      <c r="I833" s="9" t="inlineStr">
        <is>
          <t>D</t>
        </is>
      </c>
      <c r="J833" s="9" t="inlineStr"/>
    </row>
    <row r="834">
      <c r="A834" s="9" t="inlineStr">
        <is>
          <t>Checking ...0861</t>
        </is>
      </c>
      <c r="B834" s="29" t="n">
        <v>46162</v>
      </c>
      <c r="C834" s="9" t="inlineStr">
        <is>
          <t>SG*V*app.madmuscles Dover NV                 05/19</t>
        </is>
      </c>
      <c r="D834" s="10" t="n">
        <v>-25.99</v>
      </c>
      <c r="E834" s="9" t="inlineStr">
        <is>
          <t>DEBIT_CARD</t>
        </is>
      </c>
      <c r="F834" s="10" t="n">
        <v>61863.54</v>
      </c>
      <c r="G834" s="9" t="inlineStr">
        <is>
          <t>Food - Eat Out</t>
        </is>
      </c>
      <c r="H834">
        <f>IFERROR(INDEX(Categories!$A$5:$A$93,MATCH(G834,Categories!$B$5:$B$93,0)),"")</f>
        <v/>
      </c>
      <c r="I834" s="9" t="inlineStr">
        <is>
          <t>D</t>
        </is>
      </c>
      <c r="J834" s="9" t="inlineStr"/>
    </row>
    <row r="835">
      <c r="A835" s="9" t="inlineStr">
        <is>
          <t>Checking ...0861</t>
        </is>
      </c>
      <c r="B835" s="29" t="n">
        <v>46162</v>
      </c>
      <c r="C835" s="9" t="inlineStr">
        <is>
          <t>Zelle payment from HAROLD ALVARADO WFCT126NXR7F</t>
        </is>
      </c>
      <c r="D835" s="10" t="n">
        <v>270</v>
      </c>
      <c r="E835" s="9" t="inlineStr">
        <is>
          <t>PARTNERFI_TO_CHASE</t>
        </is>
      </c>
      <c r="F835" s="10" t="n">
        <v>61889.53</v>
      </c>
      <c r="G835" s="9" t="inlineStr">
        <is>
          <t>Others - Income</t>
        </is>
      </c>
      <c r="H835">
        <f>IFERROR(INDEX(Categories!$A$5:$A$93,MATCH(G835,Categories!$B$5:$B$93,0)),"")</f>
        <v/>
      </c>
      <c r="I835" s="9" t="inlineStr">
        <is>
          <t>R</t>
        </is>
      </c>
      <c r="J835" s="9" t="inlineStr">
        <is>
          <t>Zelle received - please tell me who this person is so I can map them to a category</t>
        </is>
      </c>
    </row>
    <row r="836">
      <c r="A836" s="9" t="inlineStr">
        <is>
          <t>Checking ...0861</t>
        </is>
      </c>
      <c r="B836" s="29" t="n">
        <v>46161</v>
      </c>
      <c r="C836" s="9" t="inlineStr">
        <is>
          <t>PAYPAL           PURCHASE   LIBERTYAUTO     WEB ID: PAYPALSI77</t>
        </is>
      </c>
      <c r="D836" s="10" t="n">
        <v>-172.18</v>
      </c>
      <c r="E836" s="9" t="inlineStr">
        <is>
          <t>ACH_DEBIT</t>
        </is>
      </c>
      <c r="F836" s="10" t="n">
        <v>61619.53</v>
      </c>
      <c r="G836" s="9" t="inlineStr">
        <is>
          <t>Others</t>
        </is>
      </c>
      <c r="H836">
        <f>IFERROR(INDEX(Categories!$A$5:$A$93,MATCH(G836,Categories!$B$5:$B$93,0)),"")</f>
        <v/>
      </c>
      <c r="I836" s="9" t="inlineStr">
        <is>
          <t>R</t>
        </is>
      </c>
      <c r="J836" s="9" t="inlineStr">
        <is>
          <t>Subscription/purchase via PayPal (Apple, Etsy, Google apps, Lyft, AARP, etc.) - no matching category</t>
        </is>
      </c>
    </row>
    <row r="837">
      <c r="A837" s="9" t="inlineStr">
        <is>
          <t>Checking ...0861</t>
        </is>
      </c>
      <c r="B837" s="29" t="n">
        <v>46161</v>
      </c>
      <c r="C837" s="9" t="inlineStr">
        <is>
          <t>SQ *POKE BAR Marina CA                       05/18</t>
        </is>
      </c>
      <c r="D837" s="10" t="n">
        <v>-26.57</v>
      </c>
      <c r="E837" s="9" t="inlineStr">
        <is>
          <t>DEBIT_CARD</t>
        </is>
      </c>
      <c r="F837" s="10" t="n">
        <v>61791.71</v>
      </c>
      <c r="G837" s="9" t="inlineStr">
        <is>
          <t>Food - Eat Out</t>
        </is>
      </c>
      <c r="H837">
        <f>IFERROR(INDEX(Categories!$A$5:$A$93,MATCH(G837,Categories!$B$5:$B$93,0)),"")</f>
        <v/>
      </c>
      <c r="I837" s="9" t="inlineStr">
        <is>
          <t>D</t>
        </is>
      </c>
      <c r="J837" s="9" t="inlineStr"/>
    </row>
    <row r="838">
      <c r="A838" s="9" t="inlineStr">
        <is>
          <t>Checking ...0861</t>
        </is>
      </c>
      <c r="B838" s="29" t="n">
        <v>46161</v>
      </c>
      <c r="C838" s="9" t="inlineStr">
        <is>
          <t>REI #113 MARINA MARINA CA                    05/18</t>
        </is>
      </c>
      <c r="D838" s="10" t="n">
        <v>-291.5</v>
      </c>
      <c r="E838" s="9" t="inlineStr">
        <is>
          <t>DEBIT_CARD</t>
        </is>
      </c>
      <c r="F838" s="10" t="n">
        <v>61818.28</v>
      </c>
      <c r="G838" s="9" t="inlineStr">
        <is>
          <t>Shop - Others</t>
        </is>
      </c>
      <c r="H838">
        <f>IFERROR(INDEX(Categories!$A$5:$A$93,MATCH(G838,Categories!$B$5:$B$93,0)),"")</f>
        <v/>
      </c>
      <c r="I838" s="9" t="inlineStr">
        <is>
          <t>D</t>
        </is>
      </c>
      <c r="J838" s="9" t="inlineStr"/>
    </row>
    <row r="839">
      <c r="A839" s="9" t="inlineStr">
        <is>
          <t>Checking ...0861</t>
        </is>
      </c>
      <c r="B839" s="29" t="n">
        <v>46161</v>
      </c>
      <c r="C839" s="9" t="inlineStr">
        <is>
          <t>Sendwave 844-9335122 MA                      05/18</t>
        </is>
      </c>
      <c r="D839" s="10" t="n">
        <v>-33.3</v>
      </c>
      <c r="E839" s="9" t="inlineStr">
        <is>
          <t>DEBIT_CARD</t>
        </is>
      </c>
      <c r="F839" s="10" t="n">
        <v>62109.78</v>
      </c>
      <c r="G839" s="9" t="inlineStr">
        <is>
          <t>Remittance - others</t>
        </is>
      </c>
      <c r="H839">
        <f>IFERROR(INDEX(Categories!$A$5:$A$93,MATCH(G839,Categories!$B$5:$B$93,0)),"")</f>
        <v/>
      </c>
      <c r="I839" s="9" t="inlineStr">
        <is>
          <t>R</t>
        </is>
      </c>
      <c r="J839" s="9" t="inlineStr">
        <is>
          <t>Remittance app transfer - recipient not shown; please tell me if this is Aron, Aron's tuition, or someone else</t>
        </is>
      </c>
    </row>
    <row r="840">
      <c r="A840" s="9" t="inlineStr">
        <is>
          <t>Checking ...0861</t>
        </is>
      </c>
      <c r="B840" s="29" t="n">
        <v>46161</v>
      </c>
      <c r="C840" s="9" t="inlineStr">
        <is>
          <t>Zelle payment from KYLA MARIE TUAZON PEREZ 28887721903</t>
        </is>
      </c>
      <c r="D840" s="10" t="n">
        <v>100</v>
      </c>
      <c r="E840" s="9" t="inlineStr">
        <is>
          <t>QUICKPAY_CREDIT</t>
        </is>
      </c>
      <c r="F840" s="10" t="n">
        <v>62143.08</v>
      </c>
      <c r="G840" s="9" t="inlineStr">
        <is>
          <t>Others - Income</t>
        </is>
      </c>
      <c r="H840">
        <f>IFERROR(INDEX(Categories!$A$5:$A$93,MATCH(G840,Categories!$B$5:$B$93,0)),"")</f>
        <v/>
      </c>
      <c r="I840" s="9" t="inlineStr">
        <is>
          <t>R</t>
        </is>
      </c>
      <c r="J840" s="9" t="inlineStr">
        <is>
          <t>Zelle received - please tell me who this person is so I can map them to a category</t>
        </is>
      </c>
    </row>
    <row r="841">
      <c r="A841" s="9" t="inlineStr">
        <is>
          <t>Checking ...0861</t>
        </is>
      </c>
      <c r="B841" s="29" t="n">
        <v>46161</v>
      </c>
      <c r="C841" s="9" t="inlineStr">
        <is>
          <t>PAYPAL           TRANSFER                   PPD ID: PAYPALSD11</t>
        </is>
      </c>
      <c r="D841" s="10" t="n">
        <v>1828</v>
      </c>
      <c r="E841" s="9" t="inlineStr">
        <is>
          <t>ACH_CREDIT</t>
        </is>
      </c>
      <c r="F841" s="10" t="n">
        <v>62043.08</v>
      </c>
      <c r="G841" s="9" t="inlineStr">
        <is>
          <t>Transfer - PayPal to Checking</t>
        </is>
      </c>
      <c r="H841">
        <f>IFERROR(INDEX(Categories!$A$5:$A$93,MATCH(G841,Categories!$B$5:$B$93,0)),"")</f>
        <v/>
      </c>
      <c r="I841" s="9" t="inlineStr">
        <is>
          <t>H</t>
        </is>
      </c>
      <c r="J841" s="9" t="inlineStr"/>
    </row>
    <row r="842">
      <c r="A842" s="9" t="inlineStr">
        <is>
          <t>Checking ...0861</t>
        </is>
      </c>
      <c r="B842" s="29" t="n">
        <v>46160</v>
      </c>
      <c r="C842" s="9" t="inlineStr">
        <is>
          <t>AFFIRM * PAY LL1JZCYR 855-423-3729 CA        05/18</t>
        </is>
      </c>
      <c r="D842" s="10" t="n">
        <v>-33.07</v>
      </c>
      <c r="E842" s="9" t="inlineStr">
        <is>
          <t>DEBIT_CARD</t>
        </is>
      </c>
      <c r="F842" s="10" t="n">
        <v>60215.08</v>
      </c>
      <c r="G842" s="9" t="inlineStr">
        <is>
          <t>Affirm</t>
        </is>
      </c>
      <c r="H842">
        <f>IFERROR(INDEX(Categories!$A$5:$A$93,MATCH(G842,Categories!$B$5:$B$93,0)),"")</f>
        <v/>
      </c>
      <c r="I842" s="9" t="inlineStr">
        <is>
          <t>H</t>
        </is>
      </c>
      <c r="J842" s="9" t="inlineStr"/>
    </row>
    <row r="843">
      <c r="A843" s="9" t="inlineStr">
        <is>
          <t>Checking ...0861</t>
        </is>
      </c>
      <c r="B843" s="29" t="n">
        <v>46160</v>
      </c>
      <c r="C843" s="9" t="inlineStr">
        <is>
          <t>PAYPAL           PURCHASE   GOOGLE GOPRO    WEB ID: PAYPALSI77</t>
        </is>
      </c>
      <c r="D843" s="10" t="n">
        <v>-24.99</v>
      </c>
      <c r="E843" s="9" t="inlineStr">
        <is>
          <t>ACH_DEBIT</t>
        </is>
      </c>
      <c r="F843" s="10" t="n">
        <v>60248.15</v>
      </c>
      <c r="G843" s="9" t="inlineStr">
        <is>
          <t>Others</t>
        </is>
      </c>
      <c r="H843">
        <f>IFERROR(INDEX(Categories!$A$5:$A$93,MATCH(G843,Categories!$B$5:$B$93,0)),"")</f>
        <v/>
      </c>
      <c r="I843" s="9" t="inlineStr">
        <is>
          <t>R</t>
        </is>
      </c>
      <c r="J843" s="9" t="inlineStr">
        <is>
          <t>Subscription/purchase via PayPal (Apple, Etsy, Google apps, Lyft, AARP, etc.) - no matching category</t>
        </is>
      </c>
    </row>
    <row r="844">
      <c r="A844" s="9" t="inlineStr">
        <is>
          <t>Checking ...0861</t>
        </is>
      </c>
      <c r="B844" s="29" t="n">
        <v>46160</v>
      </c>
      <c r="C844" s="9" t="inlineStr">
        <is>
          <t>PAYPAL           PURCHASE   TIKTOK SHOP     WEB ID: PAYPALSI77</t>
        </is>
      </c>
      <c r="D844" s="10" t="n">
        <v>-28.51</v>
      </c>
      <c r="E844" s="9" t="inlineStr">
        <is>
          <t>ACH_DEBIT</t>
        </is>
      </c>
      <c r="F844" s="10" t="n">
        <v>60273.14</v>
      </c>
      <c r="G844" s="9" t="inlineStr">
        <is>
          <t>paypal tiktok</t>
        </is>
      </c>
      <c r="H844">
        <f>IFERROR(INDEX(Categories!$A$5:$A$93,MATCH(G844,Categories!$B$5:$B$93,0)),"")</f>
        <v/>
      </c>
      <c r="I844" s="9" t="inlineStr">
        <is>
          <t>H</t>
        </is>
      </c>
      <c r="J844" s="9" t="inlineStr"/>
    </row>
    <row r="845">
      <c r="A845" s="9" t="inlineStr">
        <is>
          <t>Checking ...0861</t>
        </is>
      </c>
      <c r="B845" s="29" t="n">
        <v>46160</v>
      </c>
      <c r="C845" s="9" t="inlineStr">
        <is>
          <t>AFFIRM.COM PAYME AFFIRM.COM ST-W6J5I9Y9T2Y7 WEB ID: 1800948598</t>
        </is>
      </c>
      <c r="D845" s="10" t="n">
        <v>-98.59</v>
      </c>
      <c r="E845" s="9" t="inlineStr">
        <is>
          <t>ACH_DEBIT</t>
        </is>
      </c>
      <c r="F845" s="10" t="n">
        <v>60301.65</v>
      </c>
      <c r="G845" s="9" t="inlineStr">
        <is>
          <t>Affirm</t>
        </is>
      </c>
      <c r="H845">
        <f>IFERROR(INDEX(Categories!$A$5:$A$93,MATCH(G845,Categories!$B$5:$B$93,0)),"")</f>
        <v/>
      </c>
      <c r="I845" s="9" t="inlineStr">
        <is>
          <t>H</t>
        </is>
      </c>
      <c r="J845" s="9" t="inlineStr"/>
    </row>
    <row r="846">
      <c r="A846" s="9" t="inlineStr">
        <is>
          <t>Checking ...0861</t>
        </is>
      </c>
      <c r="B846" s="29" t="n">
        <v>46160</v>
      </c>
      <c r="C846" s="9" t="inlineStr">
        <is>
          <t>AMAZON MARKETPLA INTERNET   043000093204446 WEB ID: 9049016352</t>
        </is>
      </c>
      <c r="D846" s="10" t="n">
        <v>-10.85</v>
      </c>
      <c r="E846" s="9" t="inlineStr">
        <is>
          <t>ACH_DEBIT</t>
        </is>
      </c>
      <c r="F846" s="10" t="n">
        <v>60400.24</v>
      </c>
      <c r="G846" s="9" t="inlineStr">
        <is>
          <t>Shop - Amazon</t>
        </is>
      </c>
      <c r="H846">
        <f>IFERROR(INDEX(Categories!$A$5:$A$93,MATCH(G846,Categories!$B$5:$B$93,0)),"")</f>
        <v/>
      </c>
      <c r="I846" s="9" t="inlineStr">
        <is>
          <t>H</t>
        </is>
      </c>
      <c r="J846" s="9" t="inlineStr"/>
    </row>
    <row r="847">
      <c r="A847" s="9" t="inlineStr">
        <is>
          <t>Checking ...0861</t>
        </is>
      </c>
      <c r="B847" s="29" t="n">
        <v>46160</v>
      </c>
      <c r="C847" s="9" t="inlineStr">
        <is>
          <t>AMAZON MARKETPLA INTERNET   043000092587912 WEB ID: 9049016352</t>
        </is>
      </c>
      <c r="D847" s="10" t="n">
        <v>-69.94</v>
      </c>
      <c r="E847" s="9" t="inlineStr">
        <is>
          <t>ACH_DEBIT</t>
        </is>
      </c>
      <c r="F847" s="10" t="n">
        <v>60411.09</v>
      </c>
      <c r="G847" s="9" t="inlineStr">
        <is>
          <t>Shop - Amazon</t>
        </is>
      </c>
      <c r="H847">
        <f>IFERROR(INDEX(Categories!$A$5:$A$93,MATCH(G847,Categories!$B$5:$B$93,0)),"")</f>
        <v/>
      </c>
      <c r="I847" s="9" t="inlineStr">
        <is>
          <t>H</t>
        </is>
      </c>
      <c r="J847" s="9" t="inlineStr"/>
    </row>
    <row r="848">
      <c r="A848" s="9" t="inlineStr">
        <is>
          <t>Checking ...0861</t>
        </is>
      </c>
      <c r="B848" s="29" t="n">
        <v>46160</v>
      </c>
      <c r="C848" s="9" t="inlineStr">
        <is>
          <t>CRAB BUCKET. SALINAS CA                      05/17</t>
        </is>
      </c>
      <c r="D848" s="10" t="n">
        <v>-52.65</v>
      </c>
      <c r="E848" s="9" t="inlineStr">
        <is>
          <t>DEBIT_CARD</t>
        </is>
      </c>
      <c r="F848" s="10" t="n">
        <v>60481.03</v>
      </c>
      <c r="G848" s="9" t="inlineStr">
        <is>
          <t>Food - Eat Out</t>
        </is>
      </c>
      <c r="H848">
        <f>IFERROR(INDEX(Categories!$A$5:$A$93,MATCH(G848,Categories!$B$5:$B$93,0)),"")</f>
        <v/>
      </c>
      <c r="I848" s="9" t="inlineStr">
        <is>
          <t>D</t>
        </is>
      </c>
      <c r="J848" s="9" t="inlineStr">
        <is>
          <t>Restaurant/fast-food - defaulted to Eat Out; move to Food - Ailynn/Chris/Misc if you know whose order it was</t>
        </is>
      </c>
    </row>
    <row r="849">
      <c r="A849" s="9" t="inlineStr">
        <is>
          <t>Checking ...0861</t>
        </is>
      </c>
      <c r="B849" s="29" t="n">
        <v>46160</v>
      </c>
      <c r="C849" s="9" t="inlineStr">
        <is>
          <t>REI #113 MARINA MARINA CA                    05/17</t>
        </is>
      </c>
      <c r="D849" s="10" t="n">
        <v>-142.37</v>
      </c>
      <c r="E849" s="9" t="inlineStr">
        <is>
          <t>DEBIT_CARD</t>
        </is>
      </c>
      <c r="F849" s="10" t="n">
        <v>60533.68</v>
      </c>
      <c r="G849" s="9" t="inlineStr">
        <is>
          <t>Shop - Others</t>
        </is>
      </c>
      <c r="H849">
        <f>IFERROR(INDEX(Categories!$A$5:$A$93,MATCH(G849,Categories!$B$5:$B$93,0)),"")</f>
        <v/>
      </c>
      <c r="I849" s="9" t="inlineStr">
        <is>
          <t>D</t>
        </is>
      </c>
      <c r="J849" s="9" t="inlineStr"/>
    </row>
    <row r="850">
      <c r="A850" s="9" t="inlineStr">
        <is>
          <t>Checking ...0861</t>
        </is>
      </c>
      <c r="B850" s="29" t="n">
        <v>46160</v>
      </c>
      <c r="C850" s="9" t="inlineStr">
        <is>
          <t>Cinemark Marina CA                           05/17</t>
        </is>
      </c>
      <c r="D850" s="10" t="n">
        <v>-50.85</v>
      </c>
      <c r="E850" s="9" t="inlineStr">
        <is>
          <t>DEBIT_CARD</t>
        </is>
      </c>
      <c r="F850" s="10" t="n">
        <v>60676.05</v>
      </c>
      <c r="G850" s="9" t="inlineStr">
        <is>
          <t>Movie</t>
        </is>
      </c>
      <c r="H850">
        <f>IFERROR(INDEX(Categories!$A$5:$A$93,MATCH(G850,Categories!$B$5:$B$93,0)),"")</f>
        <v/>
      </c>
      <c r="I850" s="9" t="inlineStr">
        <is>
          <t>H</t>
        </is>
      </c>
      <c r="J850" s="9" t="inlineStr"/>
    </row>
    <row r="851">
      <c r="A851" s="9" t="inlineStr">
        <is>
          <t>Checking ...0861</t>
        </is>
      </c>
      <c r="B851" s="29" t="n">
        <v>46160</v>
      </c>
      <c r="C851" s="9" t="inlineStr">
        <is>
          <t>GIV*FIRST PRESBY 831-4227811 CA              05/17</t>
        </is>
      </c>
      <c r="D851" s="10" t="n">
        <v>-20</v>
      </c>
      <c r="E851" s="9" t="inlineStr">
        <is>
          <t>DEBIT_CARD</t>
        </is>
      </c>
      <c r="F851" s="10" t="n">
        <v>60726.9</v>
      </c>
      <c r="G851" s="9" t="inlineStr">
        <is>
          <t>Others</t>
        </is>
      </c>
      <c r="H851">
        <f>IFERROR(INDEX(Categories!$A$5:$A$93,MATCH(G851,Categories!$B$5:$B$93,0)),"")</f>
        <v/>
      </c>
      <c r="I851" s="9" t="inlineStr">
        <is>
          <t>H</t>
        </is>
      </c>
      <c r="J851" s="9" t="inlineStr">
        <is>
          <t>Recurring $20 church/charitable giving - no matching category in your list, put under Others</t>
        </is>
      </c>
    </row>
    <row r="852">
      <c r="A852" s="9" t="inlineStr">
        <is>
          <t>Checking ...0861</t>
        </is>
      </c>
      <c r="B852" s="29" t="n">
        <v>46160</v>
      </c>
      <c r="C852" s="9" t="inlineStr">
        <is>
          <t>CINEMARK 449 RSTBAR Salinas CA               05/17</t>
        </is>
      </c>
      <c r="D852" s="10" t="n">
        <v>-45.3</v>
      </c>
      <c r="E852" s="9" t="inlineStr">
        <is>
          <t>DEBIT_CARD</t>
        </is>
      </c>
      <c r="F852" s="10" t="n">
        <v>60746.9</v>
      </c>
      <c r="G852" s="9" t="inlineStr">
        <is>
          <t>Movie</t>
        </is>
      </c>
      <c r="H852">
        <f>IFERROR(INDEX(Categories!$A$5:$A$93,MATCH(G852,Categories!$B$5:$B$93,0)),"")</f>
        <v/>
      </c>
      <c r="I852" s="9" t="inlineStr">
        <is>
          <t>H</t>
        </is>
      </c>
      <c r="J852" s="9" t="inlineStr"/>
    </row>
    <row r="853">
      <c r="A853" s="9" t="inlineStr">
        <is>
          <t>Checking ...0861</t>
        </is>
      </c>
      <c r="B853" s="29" t="n">
        <v>46160</v>
      </c>
      <c r="C853" s="9" t="inlineStr">
        <is>
          <t>MYSUBARU SUBSCRIPTION 800-782-2783 NJ        05/17</t>
        </is>
      </c>
      <c r="D853" s="10" t="n">
        <v>-274.4</v>
      </c>
      <c r="E853" s="9" t="inlineStr">
        <is>
          <t>DEBIT_CARD</t>
        </is>
      </c>
      <c r="F853" s="10" t="n">
        <v>60792.2</v>
      </c>
      <c r="G853" s="9" t="inlineStr">
        <is>
          <t>For Car</t>
        </is>
      </c>
      <c r="H853">
        <f>IFERROR(INDEX(Categories!$A$5:$A$93,MATCH(G853,Categories!$B$5:$B$93,0)),"")</f>
        <v/>
      </c>
      <c r="I853" s="9" t="inlineStr">
        <is>
          <t>H</t>
        </is>
      </c>
      <c r="J853" s="9" t="inlineStr"/>
    </row>
    <row r="854">
      <c r="A854" s="9" t="inlineStr">
        <is>
          <t>Checking ...0861</t>
        </is>
      </c>
      <c r="B854" s="29" t="n">
        <v>46160</v>
      </c>
      <c r="C854" s="9" t="inlineStr">
        <is>
          <t>SHS*SVHMC 831-649-1000 CA                    05/16</t>
        </is>
      </c>
      <c r="D854" s="10" t="n">
        <v>-28.5</v>
      </c>
      <c r="E854" s="9" t="inlineStr">
        <is>
          <t>DEBIT_CARD</t>
        </is>
      </c>
      <c r="F854" s="10" t="n">
        <v>61066.6</v>
      </c>
      <c r="G854" s="9" t="inlineStr">
        <is>
          <t>Medical</t>
        </is>
      </c>
      <c r="H854">
        <f>IFERROR(INDEX(Categories!$A$5:$A$93,MATCH(G854,Categories!$B$5:$B$93,0)),"")</f>
        <v/>
      </c>
      <c r="I854" s="9" t="inlineStr">
        <is>
          <t>H</t>
        </is>
      </c>
      <c r="J854" s="9" t="inlineStr"/>
    </row>
    <row r="855">
      <c r="A855" s="9" t="inlineStr">
        <is>
          <t>Checking ...0861</t>
        </is>
      </c>
      <c r="B855" s="29" t="n">
        <v>46160</v>
      </c>
      <c r="C855" s="9" t="inlineStr">
        <is>
          <t>SP ORIGINAL DEAL SHOP BRAMPTON ON            05/17</t>
        </is>
      </c>
      <c r="D855" s="10" t="n">
        <v>-43.31</v>
      </c>
      <c r="E855" s="9" t="inlineStr">
        <is>
          <t>DEBIT_CARD</t>
        </is>
      </c>
      <c r="F855" s="10" t="n">
        <v>61095.1</v>
      </c>
      <c r="G855" s="9" t="inlineStr">
        <is>
          <t>Shop - Others</t>
        </is>
      </c>
      <c r="H855">
        <f>IFERROR(INDEX(Categories!$A$5:$A$93,MATCH(G855,Categories!$B$5:$B$93,0)),"")</f>
        <v/>
      </c>
      <c r="I855" s="9" t="inlineStr">
        <is>
          <t>R</t>
        </is>
      </c>
      <c r="J855" s="9" t="inlineStr">
        <is>
          <t>Small online-shop charge via an affiliate/Affirm-style processor - description doesn't name the actual store</t>
        </is>
      </c>
    </row>
    <row r="856">
      <c r="A856" s="9" t="inlineStr">
        <is>
          <t>Checking ...0861</t>
        </is>
      </c>
      <c r="B856" s="29" t="n">
        <v>46160</v>
      </c>
      <c r="C856" s="9" t="inlineStr">
        <is>
          <t>Zelle payment to Doris 2 JPM99chbjpus</t>
        </is>
      </c>
      <c r="D856" s="10" t="n">
        <v>-80</v>
      </c>
      <c r="E856" s="9" t="inlineStr">
        <is>
          <t>CHASE_TO_PARTNERFI</t>
        </is>
      </c>
      <c r="F856" s="10" t="n">
        <v>61138.41</v>
      </c>
      <c r="G856" s="9" t="inlineStr">
        <is>
          <t>Others</t>
        </is>
      </c>
      <c r="H856">
        <f>IFERROR(INDEX(Categories!$A$5:$A$93,MATCH(G856,Categories!$B$5:$B$93,0)),"")</f>
        <v/>
      </c>
      <c r="I856" s="9" t="inlineStr">
        <is>
          <t>R</t>
        </is>
      </c>
      <c r="J856" s="9" t="inlineStr">
        <is>
          <t>Zelle sent - please tell me who this person is so I can map them to a category</t>
        </is>
      </c>
    </row>
    <row r="857">
      <c r="A857" s="9" t="inlineStr">
        <is>
          <t>Checking ...0861</t>
        </is>
      </c>
      <c r="B857" s="29" t="n">
        <v>46160</v>
      </c>
      <c r="C857" s="9" t="inlineStr">
        <is>
          <t>PLANET FITNESS S IClub Fees                 PPD ID: G710602737</t>
        </is>
      </c>
      <c r="D857" s="10" t="n">
        <v>-24.99</v>
      </c>
      <c r="E857" s="9" t="inlineStr">
        <is>
          <t>ACH_DEBIT</t>
        </is>
      </c>
      <c r="F857" s="10" t="n">
        <v>61218.41</v>
      </c>
      <c r="G857" s="9" t="inlineStr">
        <is>
          <t>Planet Fitness</t>
        </is>
      </c>
      <c r="H857">
        <f>IFERROR(INDEX(Categories!$A$5:$A$93,MATCH(G857,Categories!$B$5:$B$93,0)),"")</f>
        <v/>
      </c>
      <c r="I857" s="9" t="inlineStr">
        <is>
          <t>H</t>
        </is>
      </c>
      <c r="J857" s="9" t="inlineStr"/>
    </row>
    <row r="858">
      <c r="A858" s="9" t="inlineStr">
        <is>
          <t>Checking ...0861</t>
        </is>
      </c>
      <c r="B858" s="29" t="n">
        <v>46160</v>
      </c>
      <c r="C858" s="9" t="inlineStr">
        <is>
          <t>HABIT SALINAS 306 SALINAS CA                 05/15</t>
        </is>
      </c>
      <c r="D858" s="10" t="n">
        <v>-13.86</v>
      </c>
      <c r="E858" s="9" t="inlineStr">
        <is>
          <t>DEBIT_CARD</t>
        </is>
      </c>
      <c r="F858" s="10" t="n">
        <v>61243.4</v>
      </c>
      <c r="G858" s="9" t="inlineStr">
        <is>
          <t>Food - Eat Out</t>
        </is>
      </c>
      <c r="H858">
        <f>IFERROR(INDEX(Categories!$A$5:$A$93,MATCH(G858,Categories!$B$5:$B$93,0)),"")</f>
        <v/>
      </c>
      <c r="I858" s="9" t="inlineStr">
        <is>
          <t>D</t>
        </is>
      </c>
      <c r="J858" s="9" t="inlineStr">
        <is>
          <t>Restaurant/fast-food - defaulted to Eat Out; move to Food - Ailynn/Chris/Misc if you know whose order it was</t>
        </is>
      </c>
    </row>
    <row r="859">
      <c r="A859" s="9" t="inlineStr">
        <is>
          <t>Checking ...0861</t>
        </is>
      </c>
      <c r="B859" s="29" t="n">
        <v>46160</v>
      </c>
      <c r="C859" s="9" t="inlineStr">
        <is>
          <t>HABIT SALINAS 306 SALINAS CA                 05/15</t>
        </is>
      </c>
      <c r="D859" s="10" t="n">
        <v>-41.14</v>
      </c>
      <c r="E859" s="9" t="inlineStr">
        <is>
          <t>DEBIT_CARD</t>
        </is>
      </c>
      <c r="F859" s="10" t="n">
        <v>61257.26</v>
      </c>
      <c r="G859" s="9" t="inlineStr">
        <is>
          <t>Food - Eat Out</t>
        </is>
      </c>
      <c r="H859">
        <f>IFERROR(INDEX(Categories!$A$5:$A$93,MATCH(G859,Categories!$B$5:$B$93,0)),"")</f>
        <v/>
      </c>
      <c r="I859" s="9" t="inlineStr">
        <is>
          <t>D</t>
        </is>
      </c>
      <c r="J859" s="9" t="inlineStr">
        <is>
          <t>Restaurant/fast-food - defaulted to Eat Out; move to Food - Ailynn/Chris/Misc if you know whose order it was</t>
        </is>
      </c>
    </row>
    <row r="860">
      <c r="A860" s="9" t="inlineStr">
        <is>
          <t>Checking ...0861</t>
        </is>
      </c>
      <c r="B860" s="29" t="n">
        <v>46160</v>
      </c>
      <c r="C860" s="9" t="inlineStr">
        <is>
          <t>Chua Tinsay  Vega AP San Francisco CA        05/16</t>
        </is>
      </c>
      <c r="D860" s="10" t="n">
        <v>-400</v>
      </c>
      <c r="E860" s="9" t="inlineStr">
        <is>
          <t>DEBIT_CARD</t>
        </is>
      </c>
      <c r="F860" s="10" t="n">
        <v>61298.4</v>
      </c>
      <c r="G860" s="9" t="inlineStr">
        <is>
          <t>Atty Chua</t>
        </is>
      </c>
      <c r="H860">
        <f>IFERROR(INDEX(Categories!$A$5:$A$93,MATCH(G860,Categories!$B$5:$B$93,0)),"")</f>
        <v/>
      </c>
      <c r="I860" s="9" t="inlineStr">
        <is>
          <t>H</t>
        </is>
      </c>
      <c r="J860" s="9" t="inlineStr"/>
    </row>
    <row r="861">
      <c r="A861" s="9" t="inlineStr">
        <is>
          <t>Checking ...0861</t>
        </is>
      </c>
      <c r="B861" s="29" t="n">
        <v>46160</v>
      </c>
      <c r="C861" s="9" t="inlineStr">
        <is>
          <t>PAYPAL *TEMU 302-480-6118 CA                 05/16</t>
        </is>
      </c>
      <c r="D861" s="10" t="n">
        <v>-23.97</v>
      </c>
      <c r="E861" s="9" t="inlineStr">
        <is>
          <t>DEBIT_CARD</t>
        </is>
      </c>
      <c r="F861" s="10" t="n">
        <v>61698.4</v>
      </c>
      <c r="G861" s="9" t="inlineStr">
        <is>
          <t>Shop - Temu</t>
        </is>
      </c>
      <c r="H861">
        <f>IFERROR(INDEX(Categories!$A$5:$A$93,MATCH(G861,Categories!$B$5:$B$93,0)),"")</f>
        <v/>
      </c>
      <c r="I861" s="9" t="inlineStr">
        <is>
          <t>H</t>
        </is>
      </c>
      <c r="J861" s="9" t="inlineStr"/>
    </row>
    <row r="862">
      <c r="A862" s="9" t="inlineStr">
        <is>
          <t>Checking ...0861</t>
        </is>
      </c>
      <c r="B862" s="29" t="n">
        <v>46160</v>
      </c>
      <c r="C862" s="9" t="inlineStr">
        <is>
          <t>JOLLIBEE SAN JOSE CA                         05/13</t>
        </is>
      </c>
      <c r="D862" s="10" t="n">
        <v>-59.57</v>
      </c>
      <c r="E862" s="9" t="inlineStr">
        <is>
          <t>DEBIT_CARD</t>
        </is>
      </c>
      <c r="F862" s="10" t="n">
        <v>61722.37</v>
      </c>
      <c r="G862" s="9" t="inlineStr">
        <is>
          <t>Food - Eat Out</t>
        </is>
      </c>
      <c r="H862">
        <f>IFERROR(INDEX(Categories!$A$5:$A$93,MATCH(G862,Categories!$B$5:$B$93,0)),"")</f>
        <v/>
      </c>
      <c r="I862" s="9" t="inlineStr">
        <is>
          <t>D</t>
        </is>
      </c>
      <c r="J862" s="9" t="inlineStr">
        <is>
          <t>Restaurant/fast-food - defaulted to Eat Out; move to Food - Ailynn/Chris/Misc if you know whose order it was</t>
        </is>
      </c>
    </row>
    <row r="863">
      <c r="A863" s="9" t="inlineStr">
        <is>
          <t>Checking ...0861</t>
        </is>
      </c>
      <c r="B863" s="29" t="n">
        <v>46160</v>
      </c>
      <c r="C863" s="9" t="inlineStr">
        <is>
          <t>Zelle payment from RHIAN ABIGAIL ALMO 29258057109</t>
        </is>
      </c>
      <c r="D863" s="10" t="n">
        <v>127</v>
      </c>
      <c r="E863" s="9" t="inlineStr">
        <is>
          <t>QUICKPAY_CREDIT</t>
        </is>
      </c>
      <c r="F863" s="10" t="n">
        <v>61781.94</v>
      </c>
      <c r="G863" s="9" t="inlineStr">
        <is>
          <t>Others - Income</t>
        </is>
      </c>
      <c r="H863">
        <f>IFERROR(INDEX(Categories!$A$5:$A$93,MATCH(G863,Categories!$B$5:$B$93,0)),"")</f>
        <v/>
      </c>
      <c r="I863" s="9" t="inlineStr">
        <is>
          <t>R</t>
        </is>
      </c>
      <c r="J863" s="9" t="inlineStr">
        <is>
          <t>Zelle received - please tell me who this person is so I can map them to a category</t>
        </is>
      </c>
    </row>
    <row r="864">
      <c r="A864" s="9" t="inlineStr">
        <is>
          <t>Checking ...0861</t>
        </is>
      </c>
      <c r="B864" s="29" t="n">
        <v>46160</v>
      </c>
      <c r="C864" s="9" t="inlineStr">
        <is>
          <t>MYSUBARU SUBSCRIPTION 800-782-2783 NJ        05/17</t>
        </is>
      </c>
      <c r="D864" s="10" t="n">
        <v>198.09</v>
      </c>
      <c r="E864" s="9" t="inlineStr">
        <is>
          <t>DEBIT_CARD</t>
        </is>
      </c>
      <c r="F864" s="10" t="n">
        <v>61654.94</v>
      </c>
      <c r="G864" s="9" t="inlineStr">
        <is>
          <t>For Car</t>
        </is>
      </c>
      <c r="H864">
        <f>IFERROR(INDEX(Categories!$A$5:$A$93,MATCH(G864,Categories!$B$5:$B$93,0)),"")</f>
        <v/>
      </c>
      <c r="I864" s="9" t="inlineStr">
        <is>
          <t>H</t>
        </is>
      </c>
      <c r="J864" s="9" t="inlineStr"/>
    </row>
    <row r="865">
      <c r="A865" s="9" t="inlineStr">
        <is>
          <t>Checking ...0861</t>
        </is>
      </c>
      <c r="B865" s="29" t="n">
        <v>46157</v>
      </c>
      <c r="C865" s="9" t="inlineStr">
        <is>
          <t>CHECK</t>
        </is>
      </c>
      <c r="D865" s="10" t="n">
        <v>-7500</v>
      </c>
      <c r="E865" s="9" t="inlineStr">
        <is>
          <t>CHECK_PAID</t>
        </is>
      </c>
      <c r="F865" s="10" t="n">
        <v>61456.85</v>
      </c>
      <c r="G865" s="9" t="inlineStr">
        <is>
          <t>Others</t>
        </is>
      </c>
      <c r="H865">
        <f>IFERROR(INDEX(Categories!$A$5:$A$93,MATCH(G865,Categories!$B$5:$B$93,0)),"")</f>
        <v/>
      </c>
      <c r="I865" s="9" t="inlineStr">
        <is>
          <t>R</t>
        </is>
      </c>
      <c r="J865" s="9" t="inlineStr">
        <is>
          <t>Paper check - payee not shown on the statement; please tell me who checks were written to</t>
        </is>
      </c>
    </row>
    <row r="866">
      <c r="A866" s="9" t="inlineStr">
        <is>
          <t>Checking ...0861</t>
        </is>
      </c>
      <c r="B866" s="29" t="n">
        <v>46157</v>
      </c>
      <c r="C866" s="9" t="inlineStr">
        <is>
          <t>PAYPAL           TRANSFER   ADD TO BALANCE  WEB ID: PAYPALSD22</t>
        </is>
      </c>
      <c r="D866" s="10" t="n">
        <v>-50</v>
      </c>
      <c r="E866" s="9" t="inlineStr">
        <is>
          <t>ACH_DEBIT</t>
        </is>
      </c>
      <c r="F866" s="10" t="n">
        <v>68956.85000000001</v>
      </c>
      <c r="G866" s="9" t="inlineStr">
        <is>
          <t>Transfer - Checking to PayPal</t>
        </is>
      </c>
      <c r="H866">
        <f>IFERROR(INDEX(Categories!$A$5:$A$93,MATCH(G866,Categories!$B$5:$B$93,0)),"")</f>
        <v/>
      </c>
      <c r="I866" s="9" t="inlineStr">
        <is>
          <t>H</t>
        </is>
      </c>
      <c r="J866" s="9" t="inlineStr"/>
    </row>
    <row r="867">
      <c r="A867" s="9" t="inlineStr">
        <is>
          <t>Checking ...0861</t>
        </is>
      </c>
      <c r="B867" s="29" t="n">
        <v>46157</v>
      </c>
      <c r="C867" s="9" t="inlineStr">
        <is>
          <t>PAYPAL           PURCHASE   TIKTOK SHOP     WEB ID: PAYPALSI77</t>
        </is>
      </c>
      <c r="D867" s="10" t="n">
        <v>-98.97</v>
      </c>
      <c r="E867" s="9" t="inlineStr">
        <is>
          <t>ACH_DEBIT</t>
        </is>
      </c>
      <c r="F867" s="10" t="n">
        <v>69006.85000000001</v>
      </c>
      <c r="G867" s="9" t="inlineStr">
        <is>
          <t>paypal tiktok</t>
        </is>
      </c>
      <c r="H867">
        <f>IFERROR(INDEX(Categories!$A$5:$A$93,MATCH(G867,Categories!$B$5:$B$93,0)),"")</f>
        <v/>
      </c>
      <c r="I867" s="9" t="inlineStr">
        <is>
          <t>H</t>
        </is>
      </c>
      <c r="J867" s="9" t="inlineStr"/>
    </row>
    <row r="868">
      <c r="A868" s="9" t="inlineStr">
        <is>
          <t>Checking ...0861</t>
        </is>
      </c>
      <c r="B868" s="29" t="n">
        <v>46157</v>
      </c>
      <c r="C868" s="9" t="inlineStr">
        <is>
          <t>Klarna* Klarna 151-7426184 DE                05/15</t>
        </is>
      </c>
      <c r="D868" s="10" t="n">
        <v>-22.45</v>
      </c>
      <c r="E868" s="9" t="inlineStr">
        <is>
          <t>DEBIT_CARD</t>
        </is>
      </c>
      <c r="F868" s="10" t="n">
        <v>69105.82000000001</v>
      </c>
      <c r="G868" s="9" t="inlineStr">
        <is>
          <t>Klarna</t>
        </is>
      </c>
      <c r="H868">
        <f>IFERROR(INDEX(Categories!$A$5:$A$93,MATCH(G868,Categories!$B$5:$B$93,0)),"")</f>
        <v/>
      </c>
      <c r="I868" s="9" t="inlineStr">
        <is>
          <t>H</t>
        </is>
      </c>
      <c r="J868" s="9" t="inlineStr"/>
    </row>
    <row r="869">
      <c r="A869" s="9" t="inlineStr">
        <is>
          <t>Checking ...0861</t>
        </is>
      </c>
      <c r="B869" s="29" t="n">
        <v>46157</v>
      </c>
      <c r="C869" s="9" t="inlineStr">
        <is>
          <t>SP+AFF* JDMUSCLE - 181 AFFIRM.COM CA         05/15</t>
        </is>
      </c>
      <c r="D869" s="10" t="n">
        <v>-30.14</v>
      </c>
      <c r="E869" s="9" t="inlineStr">
        <is>
          <t>DEBIT_CARD</t>
        </is>
      </c>
      <c r="F869" s="10" t="n">
        <v>69128.27</v>
      </c>
      <c r="G869" s="9" t="inlineStr">
        <is>
          <t>Affirm</t>
        </is>
      </c>
      <c r="H869">
        <f>IFERROR(INDEX(Categories!$A$5:$A$93,MATCH(G869,Categories!$B$5:$B$93,0)),"")</f>
        <v/>
      </c>
      <c r="I869" s="9" t="inlineStr">
        <is>
          <t>H</t>
        </is>
      </c>
      <c r="J869" s="9" t="inlineStr"/>
    </row>
    <row r="870">
      <c r="A870" s="9" t="inlineStr">
        <is>
          <t>Checking ...0861</t>
        </is>
      </c>
      <c r="B870" s="29" t="n">
        <v>46157</v>
      </c>
      <c r="C870" s="9" t="inlineStr">
        <is>
          <t>Online Transfer to  SAV ...5953 transaction#: 29137526659</t>
        </is>
      </c>
      <c r="D870" s="10" t="n">
        <v>-25</v>
      </c>
      <c r="E870" s="9" t="inlineStr">
        <is>
          <t>ACCT_XFER</t>
        </is>
      </c>
      <c r="F870" s="10" t="n">
        <v>69158.41</v>
      </c>
      <c r="G870" s="9" t="inlineStr">
        <is>
          <t>Transfer - Checking to Savings</t>
        </is>
      </c>
      <c r="H870">
        <f>IFERROR(INDEX(Categories!$A$5:$A$93,MATCH(G870,Categories!$B$5:$B$93,0)),"")</f>
        <v/>
      </c>
      <c r="I870" s="9" t="inlineStr">
        <is>
          <t>H</t>
        </is>
      </c>
      <c r="J870" s="9" t="inlineStr"/>
    </row>
    <row r="871">
      <c r="A871" s="9" t="inlineStr">
        <is>
          <t>Checking ...0861</t>
        </is>
      </c>
      <c r="B871" s="29" t="n">
        <v>46157</v>
      </c>
      <c r="C871" s="9" t="inlineStr">
        <is>
          <t>AMAZON MARKETPLA INTERNET   043000098425146 WEB ID: 9049016352</t>
        </is>
      </c>
      <c r="D871" s="10" t="n">
        <v>-8.18</v>
      </c>
      <c r="E871" s="9" t="inlineStr">
        <is>
          <t>ACH_DEBIT</t>
        </is>
      </c>
      <c r="F871" s="10" t="n">
        <v>69183.41</v>
      </c>
      <c r="G871" s="9" t="inlineStr">
        <is>
          <t>Shop - Amazon</t>
        </is>
      </c>
      <c r="H871">
        <f>IFERROR(INDEX(Categories!$A$5:$A$93,MATCH(G871,Categories!$B$5:$B$93,0)),"")</f>
        <v/>
      </c>
      <c r="I871" s="9" t="inlineStr">
        <is>
          <t>H</t>
        </is>
      </c>
      <c r="J871" s="9" t="inlineStr"/>
    </row>
    <row r="872">
      <c r="A872" s="9" t="inlineStr">
        <is>
          <t>Checking ...0861</t>
        </is>
      </c>
      <c r="B872" s="29" t="n">
        <v>46157</v>
      </c>
      <c r="C872" s="9" t="inlineStr">
        <is>
          <t>AFFIRM.COM PAYME AFFIRM.COM ST-Z0M6W1I8U4X8 WEB ID: 1800948598</t>
        </is>
      </c>
      <c r="D872" s="10" t="n">
        <v>-17.06</v>
      </c>
      <c r="E872" s="9" t="inlineStr">
        <is>
          <t>ACH_DEBIT</t>
        </is>
      </c>
      <c r="F872" s="10" t="n">
        <v>69191.59</v>
      </c>
      <c r="G872" s="9" t="inlineStr">
        <is>
          <t>Affirm</t>
        </is>
      </c>
      <c r="H872">
        <f>IFERROR(INDEX(Categories!$A$5:$A$93,MATCH(G872,Categories!$B$5:$B$93,0)),"")</f>
        <v/>
      </c>
      <c r="I872" s="9" t="inlineStr">
        <is>
          <t>H</t>
        </is>
      </c>
      <c r="J872" s="9" t="inlineStr"/>
    </row>
    <row r="873">
      <c r="A873" s="9" t="inlineStr">
        <is>
          <t>Checking ...0861</t>
        </is>
      </c>
      <c r="B873" s="29" t="n">
        <v>46157</v>
      </c>
      <c r="C873" s="9" t="inlineStr">
        <is>
          <t>Klarna*Temu.com Columbus OH                  05/15</t>
        </is>
      </c>
      <c r="D873" s="10" t="n">
        <v>-6.5</v>
      </c>
      <c r="E873" s="9" t="inlineStr">
        <is>
          <t>DEBIT_CARD</t>
        </is>
      </c>
      <c r="F873" s="10" t="n">
        <v>69208.64999999999</v>
      </c>
      <c r="G873" s="9" t="inlineStr">
        <is>
          <t>Klarna</t>
        </is>
      </c>
      <c r="H873">
        <f>IFERROR(INDEX(Categories!$A$5:$A$93,MATCH(G873,Categories!$B$5:$B$93,0)),"")</f>
        <v/>
      </c>
      <c r="I873" s="9" t="inlineStr">
        <is>
          <t>H</t>
        </is>
      </c>
      <c r="J873" s="9" t="inlineStr"/>
    </row>
    <row r="874">
      <c r="A874" s="9" t="inlineStr">
        <is>
          <t>Checking ...0861</t>
        </is>
      </c>
      <c r="B874" s="29" t="n">
        <v>46157</v>
      </c>
      <c r="C874" s="9" t="inlineStr">
        <is>
          <t>SP LIMITLESS-SC LIMITLESSSPEE PA             05/14</t>
        </is>
      </c>
      <c r="D874" s="10" t="n">
        <v>-20.67</v>
      </c>
      <c r="E874" s="9" t="inlineStr">
        <is>
          <t>DEBIT_CARD</t>
        </is>
      </c>
      <c r="F874" s="10" t="n">
        <v>69215.14999999999</v>
      </c>
      <c r="G874" s="9" t="inlineStr">
        <is>
          <t>Shop - Others</t>
        </is>
      </c>
      <c r="H874">
        <f>IFERROR(INDEX(Categories!$A$5:$A$93,MATCH(G874,Categories!$B$5:$B$93,0)),"")</f>
        <v/>
      </c>
      <c r="I874" s="9" t="inlineStr">
        <is>
          <t>R</t>
        </is>
      </c>
      <c r="J874" s="9" t="inlineStr">
        <is>
          <t>Small online-shop charge via an affiliate/Affirm-style processor - description doesn't name the actual store</t>
        </is>
      </c>
    </row>
    <row r="875">
      <c r="A875" s="9" t="inlineStr">
        <is>
          <t>Checking ...0861</t>
        </is>
      </c>
      <c r="B875" s="29" t="n">
        <v>46157</v>
      </c>
      <c r="C875" s="9" t="inlineStr">
        <is>
          <t>SP AFDOVERLAYS AEROFLOWDYNAM CA              05/14</t>
        </is>
      </c>
      <c r="D875" s="10" t="n">
        <v>-22.16</v>
      </c>
      <c r="E875" s="9" t="inlineStr">
        <is>
          <t>DEBIT_CARD</t>
        </is>
      </c>
      <c r="F875" s="10" t="n">
        <v>69235.82000000001</v>
      </c>
      <c r="G875" s="9" t="inlineStr">
        <is>
          <t>Shop - Others</t>
        </is>
      </c>
      <c r="H875">
        <f>IFERROR(INDEX(Categories!$A$5:$A$93,MATCH(G875,Categories!$B$5:$B$93,0)),"")</f>
        <v/>
      </c>
      <c r="I875" s="9" t="inlineStr">
        <is>
          <t>R</t>
        </is>
      </c>
      <c r="J875" s="9" t="inlineStr">
        <is>
          <t>Small online-shop charge via an affiliate/Affirm-style processor - description doesn't name the actual store</t>
        </is>
      </c>
    </row>
    <row r="876">
      <c r="A876" s="9" t="inlineStr">
        <is>
          <t>Checking ...0861</t>
        </is>
      </c>
      <c r="B876" s="29" t="n">
        <v>46157</v>
      </c>
      <c r="C876" s="9" t="inlineStr">
        <is>
          <t>SG*V*app.madmuscles Dover NV                 05/14</t>
        </is>
      </c>
      <c r="D876" s="10" t="n">
        <v>-0.99</v>
      </c>
      <c r="E876" s="9" t="inlineStr">
        <is>
          <t>DEBIT_CARD</t>
        </is>
      </c>
      <c r="F876" s="10" t="n">
        <v>69257.98</v>
      </c>
      <c r="G876" s="9" t="inlineStr">
        <is>
          <t>Food - Eat Out</t>
        </is>
      </c>
      <c r="H876">
        <f>IFERROR(INDEX(Categories!$A$5:$A$93,MATCH(G876,Categories!$B$5:$B$93,0)),"")</f>
        <v/>
      </c>
      <c r="I876" s="9" t="inlineStr">
        <is>
          <t>D</t>
        </is>
      </c>
      <c r="J876" s="9" t="inlineStr"/>
    </row>
    <row r="877">
      <c r="A877" s="9" t="inlineStr">
        <is>
          <t>Checking ...0861</t>
        </is>
      </c>
      <c r="B877" s="29" t="n">
        <v>46157</v>
      </c>
      <c r="C877" s="9" t="inlineStr">
        <is>
          <t>TAQUERIA VALLARTA FELTON CA                  05/14</t>
        </is>
      </c>
      <c r="D877" s="10" t="n">
        <v>-15.57</v>
      </c>
      <c r="E877" s="9" t="inlineStr">
        <is>
          <t>DEBIT_CARD</t>
        </is>
      </c>
      <c r="F877" s="10" t="n">
        <v>69258.97</v>
      </c>
      <c r="G877" s="9" t="inlineStr">
        <is>
          <t>Food - Eat Out</t>
        </is>
      </c>
      <c r="H877">
        <f>IFERROR(INDEX(Categories!$A$5:$A$93,MATCH(G877,Categories!$B$5:$B$93,0)),"")</f>
        <v/>
      </c>
      <c r="I877" s="9" t="inlineStr">
        <is>
          <t>D</t>
        </is>
      </c>
      <c r="J877" s="9" t="inlineStr">
        <is>
          <t>Restaurant/fast-food - defaulted to Eat Out; move to Food - Ailynn/Chris/Misc if you know whose order it was</t>
        </is>
      </c>
    </row>
    <row r="878">
      <c r="A878" s="9" t="inlineStr">
        <is>
          <t>Checking ...0861</t>
        </is>
      </c>
      <c r="B878" s="29" t="n">
        <v>46157</v>
      </c>
      <c r="C878" s="9" t="inlineStr">
        <is>
          <t>PAYPAL *PYPL PAYIN4 402-935-7733 CA          05/14</t>
        </is>
      </c>
      <c r="D878" s="10" t="n">
        <v>-31.25</v>
      </c>
      <c r="E878" s="9" t="inlineStr">
        <is>
          <t>DEBIT_CARD</t>
        </is>
      </c>
      <c r="F878" s="10" t="n">
        <v>69274.53999999999</v>
      </c>
      <c r="G878" s="9" t="inlineStr">
        <is>
          <t>Paypal pay in 4</t>
        </is>
      </c>
      <c r="H878">
        <f>IFERROR(INDEX(Categories!$A$5:$A$93,MATCH(G878,Categories!$B$5:$B$93,0)),"")</f>
        <v/>
      </c>
      <c r="I878" s="9" t="inlineStr">
        <is>
          <t>H</t>
        </is>
      </c>
      <c r="J878" s="9" t="inlineStr"/>
    </row>
    <row r="879">
      <c r="A879" s="9" t="inlineStr">
        <is>
          <t>Checking ...0861</t>
        </is>
      </c>
      <c r="B879" s="29" t="n">
        <v>46157</v>
      </c>
      <c r="C879" s="9" t="inlineStr">
        <is>
          <t>MYSUBARU SUBSCRIPTION 800-782-2783 NJ        05/14</t>
        </is>
      </c>
      <c r="D879" s="10" t="n">
        <v>-198.82</v>
      </c>
      <c r="E879" s="9" t="inlineStr">
        <is>
          <t>DEBIT_CARD</t>
        </is>
      </c>
      <c r="F879" s="10" t="n">
        <v>69305.78999999999</v>
      </c>
      <c r="G879" s="9" t="inlineStr">
        <is>
          <t>For Car</t>
        </is>
      </c>
      <c r="H879">
        <f>IFERROR(INDEX(Categories!$A$5:$A$93,MATCH(G879,Categories!$B$5:$B$93,0)),"")</f>
        <v/>
      </c>
      <c r="I879" s="9" t="inlineStr">
        <is>
          <t>H</t>
        </is>
      </c>
      <c r="J879" s="9" t="inlineStr"/>
    </row>
    <row r="880">
      <c r="A880" s="9" t="inlineStr">
        <is>
          <t>Checking ...0861</t>
        </is>
      </c>
      <c r="B880" s="29" t="n">
        <v>46157</v>
      </c>
      <c r="C880" s="9" t="inlineStr">
        <is>
          <t>SG*V*app.madmuscles Dover NV                 05/14</t>
        </is>
      </c>
      <c r="D880" s="10" t="n">
        <v>0.99</v>
      </c>
      <c r="E880" s="9" t="inlineStr">
        <is>
          <t>DEBIT_CARD</t>
        </is>
      </c>
      <c r="F880" s="10" t="n">
        <v>69504.61</v>
      </c>
      <c r="G880" s="9" t="inlineStr">
        <is>
          <t>Food - Eat Out</t>
        </is>
      </c>
      <c r="H880">
        <f>IFERROR(INDEX(Categories!$A$5:$A$93,MATCH(G880,Categories!$B$5:$B$93,0)),"")</f>
        <v/>
      </c>
      <c r="I880" s="9" t="inlineStr">
        <is>
          <t>D</t>
        </is>
      </c>
      <c r="J880" s="9" t="inlineStr"/>
    </row>
    <row r="881">
      <c r="A881" s="9" t="inlineStr">
        <is>
          <t>Checking ...0861</t>
        </is>
      </c>
      <c r="B881" s="29" t="n">
        <v>46156</v>
      </c>
      <c r="C881" s="9" t="inlineStr">
        <is>
          <t>CHECK 354</t>
        </is>
      </c>
      <c r="D881" s="10" t="n">
        <v>-2000</v>
      </c>
      <c r="E881" s="9" t="inlineStr">
        <is>
          <t>CHECK_PAID</t>
        </is>
      </c>
      <c r="F881" s="10" t="n">
        <v>69503.62</v>
      </c>
      <c r="G881" s="9" t="inlineStr">
        <is>
          <t>Others</t>
        </is>
      </c>
      <c r="H881">
        <f>IFERROR(INDEX(Categories!$A$5:$A$93,MATCH(G881,Categories!$B$5:$B$93,0)),"")</f>
        <v/>
      </c>
      <c r="I881" s="9" t="inlineStr">
        <is>
          <t>R</t>
        </is>
      </c>
      <c r="J881" s="9" t="inlineStr">
        <is>
          <t>Paper check - payee not shown on the statement; please tell me who checks were written to</t>
        </is>
      </c>
    </row>
    <row r="882">
      <c r="A882" s="9" t="inlineStr">
        <is>
          <t>Checking ...0861</t>
        </is>
      </c>
      <c r="B882" s="29" t="n">
        <v>46156</v>
      </c>
      <c r="C882" s="9" t="inlineStr">
        <is>
          <t>AMAZON MARKETPLA INTERNET   043000097529326 WEB ID: 9049016352</t>
        </is>
      </c>
      <c r="D882" s="10" t="n">
        <v>-6.96</v>
      </c>
      <c r="E882" s="9" t="inlineStr">
        <is>
          <t>ACH_DEBIT</t>
        </is>
      </c>
      <c r="F882" s="10" t="n">
        <v>71503.62</v>
      </c>
      <c r="G882" s="9" t="inlineStr">
        <is>
          <t>Shop - Amazon</t>
        </is>
      </c>
      <c r="H882">
        <f>IFERROR(INDEX(Categories!$A$5:$A$93,MATCH(G882,Categories!$B$5:$B$93,0)),"")</f>
        <v/>
      </c>
      <c r="I882" s="9" t="inlineStr">
        <is>
          <t>H</t>
        </is>
      </c>
      <c r="J882" s="9" t="inlineStr"/>
    </row>
    <row r="883">
      <c r="A883" s="9" t="inlineStr">
        <is>
          <t>Checking ...0861</t>
        </is>
      </c>
      <c r="B883" s="29" t="n">
        <v>46156</v>
      </c>
      <c r="C883" s="9" t="inlineStr">
        <is>
          <t>AMAZON MARKETPLA INTERNET   043000097373138 WEB ID: 9049016352</t>
        </is>
      </c>
      <c r="D883" s="10" t="n">
        <v>-9.779999999999999</v>
      </c>
      <c r="E883" s="9" t="inlineStr">
        <is>
          <t>ACH_DEBIT</t>
        </is>
      </c>
      <c r="F883" s="10" t="n">
        <v>71510.58</v>
      </c>
      <c r="G883" s="9" t="inlineStr">
        <is>
          <t>Shop - Amazon</t>
        </is>
      </c>
      <c r="H883">
        <f>IFERROR(INDEX(Categories!$A$5:$A$93,MATCH(G883,Categories!$B$5:$B$93,0)),"")</f>
        <v/>
      </c>
      <c r="I883" s="9" t="inlineStr">
        <is>
          <t>H</t>
        </is>
      </c>
      <c r="J883" s="9" t="inlineStr"/>
    </row>
    <row r="884">
      <c r="A884" s="9" t="inlineStr">
        <is>
          <t>Checking ...0861</t>
        </is>
      </c>
      <c r="B884" s="29" t="n">
        <v>46156</v>
      </c>
      <c r="C884" s="9" t="inlineStr">
        <is>
          <t>AMAZON MARKETPLA INTERNET   043000097349400 WEB ID: 9049016352</t>
        </is>
      </c>
      <c r="D884" s="10" t="n">
        <v>-10.86</v>
      </c>
      <c r="E884" s="9" t="inlineStr">
        <is>
          <t>ACH_DEBIT</t>
        </is>
      </c>
      <c r="F884" s="10" t="n">
        <v>71520.36</v>
      </c>
      <c r="G884" s="9" t="inlineStr">
        <is>
          <t>Shop - Amazon</t>
        </is>
      </c>
      <c r="H884">
        <f>IFERROR(INDEX(Categories!$A$5:$A$93,MATCH(G884,Categories!$B$5:$B$93,0)),"")</f>
        <v/>
      </c>
      <c r="I884" s="9" t="inlineStr">
        <is>
          <t>H</t>
        </is>
      </c>
      <c r="J884" s="9" t="inlineStr"/>
    </row>
    <row r="885">
      <c r="A885" s="9" t="inlineStr">
        <is>
          <t>Checking ...0861</t>
        </is>
      </c>
      <c r="B885" s="29" t="n">
        <v>46156</v>
      </c>
      <c r="C885" s="9" t="inlineStr">
        <is>
          <t>AMAZON MARKETPLA INTERNET   043000097287732 WEB ID: 9049016352</t>
        </is>
      </c>
      <c r="D885" s="10" t="n">
        <v>-106.56</v>
      </c>
      <c r="E885" s="9" t="inlineStr">
        <is>
          <t>ACH_DEBIT</t>
        </is>
      </c>
      <c r="F885" s="10" t="n">
        <v>71531.22</v>
      </c>
      <c r="G885" s="9" t="inlineStr">
        <is>
          <t>Shop - Amazon</t>
        </is>
      </c>
      <c r="H885">
        <f>IFERROR(INDEX(Categories!$A$5:$A$93,MATCH(G885,Categories!$B$5:$B$93,0)),"")</f>
        <v/>
      </c>
      <c r="I885" s="9" t="inlineStr">
        <is>
          <t>H</t>
        </is>
      </c>
      <c r="J885" s="9" t="inlineStr"/>
    </row>
    <row r="886">
      <c r="A886" s="9" t="inlineStr">
        <is>
          <t>Checking ...0861</t>
        </is>
      </c>
      <c r="B886" s="29" t="n">
        <v>46156</v>
      </c>
      <c r="C886" s="9" t="inlineStr">
        <is>
          <t>WAL-MART #2458 SALINAS CA                    05/13</t>
        </is>
      </c>
      <c r="D886" s="10" t="n">
        <v>-12.26</v>
      </c>
      <c r="E886" s="9" t="inlineStr">
        <is>
          <t>DEBIT_CARD</t>
        </is>
      </c>
      <c r="F886" s="10" t="n">
        <v>71637.78</v>
      </c>
      <c r="G886" s="9" t="inlineStr">
        <is>
          <t>Groceries - Walmart</t>
        </is>
      </c>
      <c r="H886">
        <f>IFERROR(INDEX(Categories!$A$5:$A$93,MATCH(G886,Categories!$B$5:$B$93,0)),"")</f>
        <v/>
      </c>
      <c r="I886" s="9" t="inlineStr">
        <is>
          <t>H</t>
        </is>
      </c>
      <c r="J886" s="9" t="inlineStr"/>
    </row>
    <row r="887">
      <c r="A887" s="9" t="inlineStr">
        <is>
          <t>Checking ...0861</t>
        </is>
      </c>
      <c r="B887" s="29" t="n">
        <v>46156</v>
      </c>
      <c r="C887" s="9" t="inlineStr">
        <is>
          <t>85C BAKERY CAFE USA CUPERTINO CA             05/13</t>
        </is>
      </c>
      <c r="D887" s="10" t="n">
        <v>-10.8</v>
      </c>
      <c r="E887" s="9" t="inlineStr">
        <is>
          <t>DEBIT_CARD</t>
        </is>
      </c>
      <c r="F887" s="10" t="n">
        <v>71650.03999999999</v>
      </c>
      <c r="G887" s="9" t="inlineStr">
        <is>
          <t>Food - Eat Out</t>
        </is>
      </c>
      <c r="H887">
        <f>IFERROR(INDEX(Categories!$A$5:$A$93,MATCH(G887,Categories!$B$5:$B$93,0)),"")</f>
        <v/>
      </c>
      <c r="I887" s="9" t="inlineStr">
        <is>
          <t>D</t>
        </is>
      </c>
      <c r="J887" s="9" t="inlineStr">
        <is>
          <t>Restaurant/fast-food - defaulted to Eat Out; move to Food - Ailynn/Chris/Misc if you know whose order it was</t>
        </is>
      </c>
    </row>
    <row r="888">
      <c r="A888" s="9" t="inlineStr">
        <is>
          <t>Checking ...0861</t>
        </is>
      </c>
      <c r="B888" s="29" t="n">
        <v>46156</v>
      </c>
      <c r="C888" s="9" t="inlineStr">
        <is>
          <t>85C BAKERY CAFE USA CUPERTINO CA             05/13</t>
        </is>
      </c>
      <c r="D888" s="10" t="n">
        <v>-58.1</v>
      </c>
      <c r="E888" s="9" t="inlineStr">
        <is>
          <t>DEBIT_CARD</t>
        </is>
      </c>
      <c r="F888" s="10" t="n">
        <v>71660.84</v>
      </c>
      <c r="G888" s="9" t="inlineStr">
        <is>
          <t>Food - Eat Out</t>
        </is>
      </c>
      <c r="H888">
        <f>IFERROR(INDEX(Categories!$A$5:$A$93,MATCH(G888,Categories!$B$5:$B$93,0)),"")</f>
        <v/>
      </c>
      <c r="I888" s="9" t="inlineStr">
        <is>
          <t>D</t>
        </is>
      </c>
      <c r="J888" s="9" t="inlineStr">
        <is>
          <t>Restaurant/fast-food - defaulted to Eat Out; move to Food - Ailynn/Chris/Misc if you know whose order it was</t>
        </is>
      </c>
    </row>
    <row r="889">
      <c r="A889" s="9" t="inlineStr">
        <is>
          <t>Checking ...0861</t>
        </is>
      </c>
      <c r="B889" s="29" t="n">
        <v>46156</v>
      </c>
      <c r="C889" s="9" t="inlineStr">
        <is>
          <t>theharnafit Dover DE                         05/14</t>
        </is>
      </c>
      <c r="D889" s="10" t="n">
        <v>-18.99</v>
      </c>
      <c r="E889" s="9" t="inlineStr">
        <is>
          <t>DEBIT_CARD</t>
        </is>
      </c>
      <c r="F889" s="10" t="n">
        <v>71718.94</v>
      </c>
      <c r="G889" s="9" t="inlineStr">
        <is>
          <t>Harna fit</t>
        </is>
      </c>
      <c r="H889">
        <f>IFERROR(INDEX(Categories!$A$5:$A$93,MATCH(G889,Categories!$B$5:$B$93,0)),"")</f>
        <v/>
      </c>
      <c r="I889" s="9" t="inlineStr">
        <is>
          <t>H</t>
        </is>
      </c>
      <c r="J889" s="9" t="inlineStr"/>
    </row>
    <row r="890">
      <c r="A890" s="9" t="inlineStr">
        <is>
          <t>Checking ...0861</t>
        </is>
      </c>
      <c r="B890" s="29" t="n">
        <v>46155</v>
      </c>
      <c r="C890" s="9" t="inlineStr">
        <is>
          <t>STEVE'S FILIPINO ASIAN SALINAS CA    907772  05/13</t>
        </is>
      </c>
      <c r="D890" s="10" t="n">
        <v>-51.24</v>
      </c>
      <c r="E890" s="9" t="inlineStr">
        <is>
          <t>DEBIT_CARD</t>
        </is>
      </c>
      <c r="F890" s="10" t="n">
        <v>71737.92999999999</v>
      </c>
      <c r="G890" s="9" t="inlineStr">
        <is>
          <t>Groceries - Steves</t>
        </is>
      </c>
      <c r="H890">
        <f>IFERROR(INDEX(Categories!$A$5:$A$93,MATCH(G890,Categories!$B$5:$B$93,0)),"")</f>
        <v/>
      </c>
      <c r="I890" s="9" t="inlineStr">
        <is>
          <t>H</t>
        </is>
      </c>
      <c r="J890" s="9" t="inlineStr"/>
    </row>
    <row r="891">
      <c r="A891" s="9" t="inlineStr">
        <is>
          <t>Checking ...0861</t>
        </is>
      </c>
      <c r="B891" s="29" t="n">
        <v>46155</v>
      </c>
      <c r="C891" s="9" t="inlineStr">
        <is>
          <t>AMAZON MARKETPLA INTERNET   043000096020566 WEB ID: 9049016352</t>
        </is>
      </c>
      <c r="D891" s="10" t="n">
        <v>-9.779999999999999</v>
      </c>
      <c r="E891" s="9" t="inlineStr">
        <is>
          <t>ACH_DEBIT</t>
        </is>
      </c>
      <c r="F891" s="10" t="n">
        <v>71789.17</v>
      </c>
      <c r="G891" s="9" t="inlineStr">
        <is>
          <t>Shop - Amazon</t>
        </is>
      </c>
      <c r="H891">
        <f>IFERROR(INDEX(Categories!$A$5:$A$93,MATCH(G891,Categories!$B$5:$B$93,0)),"")</f>
        <v/>
      </c>
      <c r="I891" s="9" t="inlineStr">
        <is>
          <t>H</t>
        </is>
      </c>
      <c r="J891" s="9" t="inlineStr"/>
    </row>
    <row r="892">
      <c r="A892" s="9" t="inlineStr">
        <is>
          <t>Checking ...0861</t>
        </is>
      </c>
      <c r="B892" s="29" t="n">
        <v>46155</v>
      </c>
      <c r="C892" s="9" t="inlineStr">
        <is>
          <t>AMAZON MARKETPLA INTERNET   043000096225162 WEB ID: 9049016352</t>
        </is>
      </c>
      <c r="D892" s="10" t="n">
        <v>-10.86</v>
      </c>
      <c r="E892" s="9" t="inlineStr">
        <is>
          <t>ACH_DEBIT</t>
        </is>
      </c>
      <c r="F892" s="10" t="n">
        <v>71798.95</v>
      </c>
      <c r="G892" s="9" t="inlineStr">
        <is>
          <t>Shop - Amazon</t>
        </is>
      </c>
      <c r="H892">
        <f>IFERROR(INDEX(Categories!$A$5:$A$93,MATCH(G892,Categories!$B$5:$B$93,0)),"")</f>
        <v/>
      </c>
      <c r="I892" s="9" t="inlineStr">
        <is>
          <t>H</t>
        </is>
      </c>
      <c r="J892" s="9" t="inlineStr"/>
    </row>
    <row r="893">
      <c r="A893" s="9" t="inlineStr">
        <is>
          <t>Checking ...0861</t>
        </is>
      </c>
      <c r="B893" s="29" t="n">
        <v>46155</v>
      </c>
      <c r="C893" s="9" t="inlineStr">
        <is>
          <t>DEPOSIT  ID NUMBER 790501</t>
        </is>
      </c>
      <c r="D893" s="10" t="n">
        <v>10000</v>
      </c>
      <c r="E893" s="9" t="inlineStr">
        <is>
          <t>DEPOSIT</t>
        </is>
      </c>
      <c r="F893" s="10" t="n">
        <v>71809.81</v>
      </c>
      <c r="G893" s="9" t="inlineStr">
        <is>
          <t>Others - Income</t>
        </is>
      </c>
      <c r="H893">
        <f>IFERROR(INDEX(Categories!$A$5:$A$93,MATCH(G893,Categories!$B$5:$B$93,0)),"")</f>
        <v/>
      </c>
      <c r="I893" s="9" t="inlineStr">
        <is>
          <t>R</t>
        </is>
      </c>
      <c r="J893" s="9" t="inlineStr">
        <is>
          <t>Deposit/wire with unclear source</t>
        </is>
      </c>
    </row>
    <row r="894">
      <c r="A894" s="9" t="inlineStr">
        <is>
          <t>Checking ...0861</t>
        </is>
      </c>
      <c r="B894" s="29" t="n">
        <v>46154</v>
      </c>
      <c r="C894" s="9" t="inlineStr">
        <is>
          <t>Zelle payment to KYLE KROMER JPM99cgrh9g5</t>
        </is>
      </c>
      <c r="D894" s="10" t="n">
        <v>-280</v>
      </c>
      <c r="E894" s="9" t="inlineStr">
        <is>
          <t>CHASE_TO_PARTNERFI</t>
        </is>
      </c>
      <c r="F894" s="10" t="n">
        <v>61809.81</v>
      </c>
      <c r="G894" s="9" t="inlineStr">
        <is>
          <t>Others</t>
        </is>
      </c>
      <c r="H894">
        <f>IFERROR(INDEX(Categories!$A$5:$A$93,MATCH(G894,Categories!$B$5:$B$93,0)),"")</f>
        <v/>
      </c>
      <c r="I894" s="9" t="inlineStr">
        <is>
          <t>R</t>
        </is>
      </c>
      <c r="J894" s="9" t="inlineStr">
        <is>
          <t>Zelle sent - please tell me who this person is so I can map them to a category</t>
        </is>
      </c>
    </row>
    <row r="895">
      <c r="A895" s="9" t="inlineStr">
        <is>
          <t>Checking ...0861</t>
        </is>
      </c>
      <c r="B895" s="29" t="n">
        <v>46154</v>
      </c>
      <c r="C895" s="9" t="inlineStr">
        <is>
          <t>Credit One Bank  Payment    46787452        WEB ID: WEB000004</t>
        </is>
      </c>
      <c r="D895" s="10" t="n">
        <v>-8.25</v>
      </c>
      <c r="E895" s="9" t="inlineStr">
        <is>
          <t>ACH_DEBIT</t>
        </is>
      </c>
      <c r="F895" s="10" t="n">
        <v>62089.81</v>
      </c>
      <c r="G895" s="9" t="inlineStr">
        <is>
          <t>CC - Credit 1</t>
        </is>
      </c>
      <c r="H895">
        <f>IFERROR(INDEX(Categories!$A$5:$A$93,MATCH(G895,Categories!$B$5:$B$93,0)),"")</f>
        <v/>
      </c>
      <c r="I895" s="9" t="inlineStr">
        <is>
          <t>H</t>
        </is>
      </c>
      <c r="J895" s="9" t="inlineStr"/>
    </row>
    <row r="896">
      <c r="A896" s="9" t="inlineStr">
        <is>
          <t>Checking ...0861</t>
        </is>
      </c>
      <c r="B896" s="29" t="n">
        <v>46154</v>
      </c>
      <c r="C896" s="9" t="inlineStr">
        <is>
          <t>Credit One Bank  Payment    54888125        WEB ID: WEB000004</t>
        </is>
      </c>
      <c r="D896" s="10" t="n">
        <v>-13.5</v>
      </c>
      <c r="E896" s="9" t="inlineStr">
        <is>
          <t>ACH_DEBIT</t>
        </is>
      </c>
      <c r="F896" s="10" t="n">
        <v>62098.06</v>
      </c>
      <c r="G896" s="9" t="inlineStr">
        <is>
          <t>CC - Credit 1</t>
        </is>
      </c>
      <c r="H896">
        <f>IFERROR(INDEX(Categories!$A$5:$A$93,MATCH(G896,Categories!$B$5:$B$93,0)),"")</f>
        <v/>
      </c>
      <c r="I896" s="9" t="inlineStr">
        <is>
          <t>H</t>
        </is>
      </c>
      <c r="J896" s="9" t="inlineStr"/>
    </row>
    <row r="897">
      <c r="A897" s="9" t="inlineStr">
        <is>
          <t>Checking ...0861</t>
        </is>
      </c>
      <c r="B897" s="29" t="n">
        <v>46154</v>
      </c>
      <c r="C897" s="9" t="inlineStr">
        <is>
          <t>OLLO CC          ONLINEPYMT 261290511155534 WEB ID: 9000002835</t>
        </is>
      </c>
      <c r="D897" s="10" t="n">
        <v>-392.12</v>
      </c>
      <c r="E897" s="9" t="inlineStr">
        <is>
          <t>ACH_DEBIT</t>
        </is>
      </c>
      <c r="F897" s="10" t="n">
        <v>62111.56</v>
      </c>
      <c r="G897" s="9" t="inlineStr">
        <is>
          <t>CC - Ollo</t>
        </is>
      </c>
      <c r="H897">
        <f>IFERROR(INDEX(Categories!$A$5:$A$93,MATCH(G897,Categories!$B$5:$B$93,0)),"")</f>
        <v/>
      </c>
      <c r="I897" s="9" t="inlineStr">
        <is>
          <t>H</t>
        </is>
      </c>
      <c r="J897" s="9" t="inlineStr"/>
    </row>
    <row r="898">
      <c r="A898" s="9" t="inlineStr">
        <is>
          <t>Checking ...0861</t>
        </is>
      </c>
      <c r="B898" s="29" t="n">
        <v>46154</v>
      </c>
      <c r="C898" s="9" t="inlineStr">
        <is>
          <t>ASPIRE MC PMT    ePay       ASPIRE MC PMT   WEB ID: R582336689</t>
        </is>
      </c>
      <c r="D898" s="10" t="n">
        <v>-439.16</v>
      </c>
      <c r="E898" s="9" t="inlineStr">
        <is>
          <t>ACH_DEBIT</t>
        </is>
      </c>
      <c r="F898" s="10" t="n">
        <v>62503.68</v>
      </c>
      <c r="G898" s="9" t="inlineStr">
        <is>
          <t>CC - Aspire</t>
        </is>
      </c>
      <c r="H898">
        <f>IFERROR(INDEX(Categories!$A$5:$A$93,MATCH(G898,Categories!$B$5:$B$93,0)),"")</f>
        <v/>
      </c>
      <c r="I898" s="9" t="inlineStr">
        <is>
          <t>H</t>
        </is>
      </c>
      <c r="J898" s="9" t="inlineStr"/>
    </row>
    <row r="899">
      <c r="A899" s="9" t="inlineStr">
        <is>
          <t>Checking ...0861</t>
        </is>
      </c>
      <c r="B899" s="29" t="n">
        <v>46154</v>
      </c>
      <c r="C899" s="9" t="inlineStr">
        <is>
          <t>UPGRADE, INC.    PAYMENT    2N319G          WEB ID: 2812807376</t>
        </is>
      </c>
      <c r="D899" s="10" t="n">
        <v>-780.74</v>
      </c>
      <c r="E899" s="9" t="inlineStr">
        <is>
          <t>ACH_DEBIT</t>
        </is>
      </c>
      <c r="F899" s="10" t="n">
        <v>62942.84</v>
      </c>
      <c r="G899" s="9" t="inlineStr">
        <is>
          <t>Upgrade</t>
        </is>
      </c>
      <c r="H899">
        <f>IFERROR(INDEX(Categories!$A$5:$A$93,MATCH(G899,Categories!$B$5:$B$93,0)),"")</f>
        <v/>
      </c>
      <c r="I899" s="9" t="inlineStr">
        <is>
          <t>H</t>
        </is>
      </c>
      <c r="J899" s="9" t="inlineStr"/>
    </row>
    <row r="900">
      <c r="A900" s="9" t="inlineStr">
        <is>
          <t>Checking ...0861</t>
        </is>
      </c>
      <c r="B900" s="29" t="n">
        <v>46154</v>
      </c>
      <c r="C900" s="9" t="inlineStr">
        <is>
          <t>UPGRADE, INC.    PAYMENT    2N2VAM          WEB ID: 2812807376</t>
        </is>
      </c>
      <c r="D900" s="10" t="n">
        <v>-10010.03</v>
      </c>
      <c r="E900" s="9" t="inlineStr">
        <is>
          <t>ACH_DEBIT</t>
        </is>
      </c>
      <c r="F900" s="10" t="n">
        <v>63723.58</v>
      </c>
      <c r="G900" s="9" t="inlineStr">
        <is>
          <t>Upgrade</t>
        </is>
      </c>
      <c r="H900">
        <f>IFERROR(INDEX(Categories!$A$5:$A$93,MATCH(G900,Categories!$B$5:$B$93,0)),"")</f>
        <v/>
      </c>
      <c r="I900" s="9" t="inlineStr">
        <is>
          <t>H</t>
        </is>
      </c>
      <c r="J900" s="9" t="inlineStr"/>
    </row>
    <row r="901">
      <c r="A901" s="9" t="inlineStr">
        <is>
          <t>Checking ...0861</t>
        </is>
      </c>
      <c r="B901" s="29" t="n">
        <v>46154</v>
      </c>
      <c r="C901" s="9" t="inlineStr">
        <is>
          <t>Primo Water Corporatio Vista CA              05/12</t>
        </is>
      </c>
      <c r="D901" s="10" t="n">
        <v>-3.1</v>
      </c>
      <c r="E901" s="9" t="inlineStr">
        <is>
          <t>DEBIT_CARD</t>
        </is>
      </c>
      <c r="F901" s="10" t="n">
        <v>73733.61</v>
      </c>
      <c r="G901" s="9" t="inlineStr">
        <is>
          <t>Water</t>
        </is>
      </c>
      <c r="H901">
        <f>IFERROR(INDEX(Categories!$A$5:$A$93,MATCH(G901,Categories!$B$5:$B$93,0)),"")</f>
        <v/>
      </c>
      <c r="I901" s="9" t="inlineStr">
        <is>
          <t>H</t>
        </is>
      </c>
      <c r="J901" s="9" t="inlineStr"/>
    </row>
    <row r="902">
      <c r="A902" s="9" t="inlineStr">
        <is>
          <t>Checking ...0861</t>
        </is>
      </c>
      <c r="B902" s="29" t="n">
        <v>46154</v>
      </c>
      <c r="C902" s="9" t="inlineStr">
        <is>
          <t>Primo Water Corporatio Vista CA              05/12</t>
        </is>
      </c>
      <c r="D902" s="10" t="n">
        <v>-3.1</v>
      </c>
      <c r="E902" s="9" t="inlineStr">
        <is>
          <t>DEBIT_CARD</t>
        </is>
      </c>
      <c r="F902" s="10" t="n">
        <v>73736.71000000001</v>
      </c>
      <c r="G902" s="9" t="inlineStr">
        <is>
          <t>Water</t>
        </is>
      </c>
      <c r="H902">
        <f>IFERROR(INDEX(Categories!$A$5:$A$93,MATCH(G902,Categories!$B$5:$B$93,0)),"")</f>
        <v/>
      </c>
      <c r="I902" s="9" t="inlineStr">
        <is>
          <t>H</t>
        </is>
      </c>
      <c r="J902" s="9" t="inlineStr"/>
    </row>
    <row r="903">
      <c r="A903" s="9" t="inlineStr">
        <is>
          <t>Checking ...0861</t>
        </is>
      </c>
      <c r="B903" s="29" t="n">
        <v>46154</v>
      </c>
      <c r="C903" s="9" t="inlineStr">
        <is>
          <t>PAYPAL *PYPL PAYIN4 402-935-7733 CA          05/12</t>
        </is>
      </c>
      <c r="D903" s="10" t="n">
        <v>-71.63</v>
      </c>
      <c r="E903" s="9" t="inlineStr">
        <is>
          <t>DEBIT_CARD</t>
        </is>
      </c>
      <c r="F903" s="10" t="n">
        <v>73739.81</v>
      </c>
      <c r="G903" s="9" t="inlineStr">
        <is>
          <t>Paypal pay in 4</t>
        </is>
      </c>
      <c r="H903">
        <f>IFERROR(INDEX(Categories!$A$5:$A$93,MATCH(G903,Categories!$B$5:$B$93,0)),"")</f>
        <v/>
      </c>
      <c r="I903" s="9" t="inlineStr">
        <is>
          <t>H</t>
        </is>
      </c>
      <c r="J903" s="9" t="inlineStr"/>
    </row>
    <row r="904">
      <c r="A904" s="9" t="inlineStr">
        <is>
          <t>Checking ...0861</t>
        </is>
      </c>
      <c r="B904" s="29" t="n">
        <v>46153</v>
      </c>
      <c r="C904" s="9" t="inlineStr">
        <is>
          <t>LIFE INS OF SW   XXXXXXXXXX                 PPD ID: 1954349000</t>
        </is>
      </c>
      <c r="D904" s="10" t="n">
        <v>-205.62</v>
      </c>
      <c r="E904" s="9" t="inlineStr">
        <is>
          <t>ACH_DEBIT</t>
        </is>
      </c>
      <c r="F904" s="10" t="n">
        <v>73811.44</v>
      </c>
      <c r="G904" s="9" t="inlineStr">
        <is>
          <t>National Life Ins</t>
        </is>
      </c>
      <c r="H904">
        <f>IFERROR(INDEX(Categories!$A$5:$A$93,MATCH(G904,Categories!$B$5:$B$93,0)),"")</f>
        <v/>
      </c>
      <c r="I904" s="9" t="inlineStr">
        <is>
          <t>H</t>
        </is>
      </c>
      <c r="J904" s="9" t="inlineStr"/>
    </row>
    <row r="905">
      <c r="A905" s="9" t="inlineStr">
        <is>
          <t>Checking ...0861</t>
        </is>
      </c>
      <c r="B905" s="29" t="n">
        <v>46153</v>
      </c>
      <c r="C905" s="9" t="inlineStr">
        <is>
          <t>Zelle payment to RHIAN ALMO 29178666419</t>
        </is>
      </c>
      <c r="D905" s="10" t="n">
        <v>-88</v>
      </c>
      <c r="E905" s="9" t="inlineStr">
        <is>
          <t>QUICKPAY_DEBIT</t>
        </is>
      </c>
      <c r="F905" s="10" t="n">
        <v>74017.06</v>
      </c>
      <c r="G905" s="9" t="inlineStr">
        <is>
          <t>Others</t>
        </is>
      </c>
      <c r="H905">
        <f>IFERROR(INDEX(Categories!$A$5:$A$93,MATCH(G905,Categories!$B$5:$B$93,0)),"")</f>
        <v/>
      </c>
      <c r="I905" s="9" t="inlineStr">
        <is>
          <t>R</t>
        </is>
      </c>
      <c r="J905" s="9" t="inlineStr">
        <is>
          <t>Zelle sent - please tell me who this person is so I can map them to a category</t>
        </is>
      </c>
    </row>
    <row r="906">
      <c r="A906" s="9" t="inlineStr">
        <is>
          <t>Checking ...0861</t>
        </is>
      </c>
      <c r="B906" s="29" t="n">
        <v>46153</v>
      </c>
      <c r="C906" s="9" t="inlineStr">
        <is>
          <t>AFTERPAY 185-52896014 CA                     05/11</t>
        </is>
      </c>
      <c r="D906" s="10" t="n">
        <v>-10.74</v>
      </c>
      <c r="E906" s="9" t="inlineStr">
        <is>
          <t>DEBIT_CARD</t>
        </is>
      </c>
      <c r="F906" s="10" t="n">
        <v>74105.06</v>
      </c>
      <c r="G906" s="9" t="inlineStr">
        <is>
          <t>Afterpay</t>
        </is>
      </c>
      <c r="H906">
        <f>IFERROR(INDEX(Categories!$A$5:$A$93,MATCH(G906,Categories!$B$5:$B$93,0)),"")</f>
        <v/>
      </c>
      <c r="I906" s="9" t="inlineStr">
        <is>
          <t>H</t>
        </is>
      </c>
      <c r="J906" s="9" t="inlineStr"/>
    </row>
    <row r="907">
      <c r="A907" s="9" t="inlineStr">
        <is>
          <t>Checking ...0861</t>
        </is>
      </c>
      <c r="B907" s="29" t="n">
        <v>46153</v>
      </c>
      <c r="C907" s="9" t="inlineStr">
        <is>
          <t>ONEPAY CASHREWRD SYF PAYMNT 552315100369915 WEB ID: 9069872103</t>
        </is>
      </c>
      <c r="D907" s="10" t="n">
        <v>-1015.59</v>
      </c>
      <c r="E907" s="9" t="inlineStr">
        <is>
          <t>ACH_DEBIT</t>
        </is>
      </c>
      <c r="F907" s="10" t="n">
        <v>74115.8</v>
      </c>
      <c r="G907" s="9" t="inlineStr">
        <is>
          <t>CC - One Pay</t>
        </is>
      </c>
      <c r="H907">
        <f>IFERROR(INDEX(Categories!$A$5:$A$93,MATCH(G907,Categories!$B$5:$B$93,0)),"")</f>
        <v/>
      </c>
      <c r="I907" s="9" t="inlineStr">
        <is>
          <t>H</t>
        </is>
      </c>
      <c r="J907" s="9" t="inlineStr"/>
    </row>
    <row r="908">
      <c r="A908" s="9" t="inlineStr">
        <is>
          <t>Checking ...0861</t>
        </is>
      </c>
      <c r="B908" s="29" t="n">
        <v>46153</v>
      </c>
      <c r="C908" s="9" t="inlineStr">
        <is>
          <t>CITI CARD ONLINE PAYMENT    422008517699374 WEB ID: CITICTP</t>
        </is>
      </c>
      <c r="D908" s="10" t="n">
        <v>-1347.59</v>
      </c>
      <c r="E908" s="9" t="inlineStr">
        <is>
          <t>ACH_DEBIT</t>
        </is>
      </c>
      <c r="F908" s="10" t="n">
        <v>75131.39</v>
      </c>
      <c r="G908" s="9" t="inlineStr">
        <is>
          <t>CC - Citibank</t>
        </is>
      </c>
      <c r="H908">
        <f>IFERROR(INDEX(Categories!$A$5:$A$93,MATCH(G908,Categories!$B$5:$B$93,0)),"")</f>
        <v/>
      </c>
      <c r="I908" s="9" t="inlineStr">
        <is>
          <t>H</t>
        </is>
      </c>
      <c r="J908" s="9" t="inlineStr"/>
    </row>
    <row r="909">
      <c r="A909" s="9" t="inlineStr">
        <is>
          <t>Checking ...0861</t>
        </is>
      </c>
      <c r="B909" s="29" t="n">
        <v>46153</v>
      </c>
      <c r="C909" s="9" t="inlineStr">
        <is>
          <t>SP AEROFLOWDYNAMICS AEROFLOWDYNAM CA         05/11</t>
        </is>
      </c>
      <c r="D909" s="10" t="n">
        <v>-104.38</v>
      </c>
      <c r="E909" s="9" t="inlineStr">
        <is>
          <t>DEBIT_CARD</t>
        </is>
      </c>
      <c r="F909" s="10" t="n">
        <v>76478.98</v>
      </c>
      <c r="G909" s="9" t="inlineStr">
        <is>
          <t>Shop - Others</t>
        </is>
      </c>
      <c r="H909">
        <f>IFERROR(INDEX(Categories!$A$5:$A$93,MATCH(G909,Categories!$B$5:$B$93,0)),"")</f>
        <v/>
      </c>
      <c r="I909" s="9" t="inlineStr">
        <is>
          <t>R</t>
        </is>
      </c>
      <c r="J909" s="9" t="inlineStr">
        <is>
          <t>Small online-shop charge via an affiliate/Affirm-style processor - description doesn't name the actual store</t>
        </is>
      </c>
    </row>
    <row r="910">
      <c r="A910" s="9" t="inlineStr">
        <is>
          <t>Checking ...0861</t>
        </is>
      </c>
      <c r="B910" s="29" t="n">
        <v>46153</v>
      </c>
      <c r="C910" s="9" t="inlineStr">
        <is>
          <t>SP AFDOVERLAYS AEROFLOWDYNAM CA              05/11</t>
        </is>
      </c>
      <c r="D910" s="10" t="n">
        <v>-24.32</v>
      </c>
      <c r="E910" s="9" t="inlineStr">
        <is>
          <t>DEBIT_CARD</t>
        </is>
      </c>
      <c r="F910" s="10" t="n">
        <v>76583.36</v>
      </c>
      <c r="G910" s="9" t="inlineStr">
        <is>
          <t>Shop - Others</t>
        </is>
      </c>
      <c r="H910">
        <f>IFERROR(INDEX(Categories!$A$5:$A$93,MATCH(G910,Categories!$B$5:$B$93,0)),"")</f>
        <v/>
      </c>
      <c r="I910" s="9" t="inlineStr">
        <is>
          <t>R</t>
        </is>
      </c>
      <c r="J910" s="9" t="inlineStr">
        <is>
          <t>Small online-shop charge via an affiliate/Affirm-style processor - description doesn't name the actual store</t>
        </is>
      </c>
    </row>
    <row r="911">
      <c r="A911" s="9" t="inlineStr">
        <is>
          <t>Checking ...0861</t>
        </is>
      </c>
      <c r="B911" s="29" t="n">
        <v>46153</v>
      </c>
      <c r="C911" s="9" t="inlineStr">
        <is>
          <t>AMAZON MARKETPLA INTERNET   043000094328892 WEB ID: 9049016352</t>
        </is>
      </c>
      <c r="D911" s="10" t="n">
        <v>-43.49</v>
      </c>
      <c r="E911" s="9" t="inlineStr">
        <is>
          <t>ACH_DEBIT</t>
        </is>
      </c>
      <c r="F911" s="10" t="n">
        <v>76607.67999999999</v>
      </c>
      <c r="G911" s="9" t="inlineStr">
        <is>
          <t>Shop - Amazon</t>
        </is>
      </c>
      <c r="H911">
        <f>IFERROR(INDEX(Categories!$A$5:$A$93,MATCH(G911,Categories!$B$5:$B$93,0)),"")</f>
        <v/>
      </c>
      <c r="I911" s="9" t="inlineStr">
        <is>
          <t>H</t>
        </is>
      </c>
      <c r="J911" s="9" t="inlineStr"/>
    </row>
    <row r="912">
      <c r="A912" s="9" t="inlineStr">
        <is>
          <t>Checking ...0861</t>
        </is>
      </c>
      <c r="B912" s="29" t="n">
        <v>46153</v>
      </c>
      <c r="C912" s="9" t="inlineStr">
        <is>
          <t>CAPITAL ONE      MOBILE PMT CA013ADE6D42AAE WEB ID: 9279744380</t>
        </is>
      </c>
      <c r="D912" s="10" t="n">
        <v>-1696.01</v>
      </c>
      <c r="E912" s="9" t="inlineStr">
        <is>
          <t>ACH_DEBIT</t>
        </is>
      </c>
      <c r="F912" s="10" t="n">
        <v>76651.17</v>
      </c>
      <c r="G912" s="9" t="inlineStr">
        <is>
          <t>CC - Capital 1</t>
        </is>
      </c>
      <c r="H912">
        <f>IFERROR(INDEX(Categories!$A$5:$A$93,MATCH(G912,Categories!$B$5:$B$93,0)),"")</f>
        <v/>
      </c>
      <c r="I912" s="9" t="inlineStr">
        <is>
          <t>H</t>
        </is>
      </c>
      <c r="J912" s="9" t="inlineStr"/>
    </row>
    <row r="913">
      <c r="A913" s="9" t="inlineStr">
        <is>
          <t>Checking ...0861</t>
        </is>
      </c>
      <c r="B913" s="29" t="n">
        <v>46153</v>
      </c>
      <c r="C913" s="9" t="inlineStr">
        <is>
          <t>PAYPAL           INST XFER  CREDIT REPAYMEN WEB ID: PAYPALSI77</t>
        </is>
      </c>
      <c r="D913" s="10" t="n">
        <v>-3928.11</v>
      </c>
      <c r="E913" s="9" t="inlineStr">
        <is>
          <t>ACH_DEBIT</t>
        </is>
      </c>
      <c r="F913" s="10" t="n">
        <v>78347.17999999999</v>
      </c>
      <c r="G913" s="9" t="inlineStr">
        <is>
          <t>Others</t>
        </is>
      </c>
      <c r="H913">
        <f>IFERROR(INDEX(Categories!$A$5:$A$93,MATCH(G913,Categories!$B$5:$B$93,0)),"")</f>
        <v/>
      </c>
      <c r="I913" s="9" t="inlineStr">
        <is>
          <t>R</t>
        </is>
      </c>
      <c r="J913" s="9" t="inlineStr"/>
    </row>
    <row r="914">
      <c r="A914" s="9" t="inlineStr">
        <is>
          <t>Checking ...0861</t>
        </is>
      </c>
      <c r="B914" s="29" t="n">
        <v>46153</v>
      </c>
      <c r="C914" s="9" t="inlineStr">
        <is>
          <t>BARCLAYCARD US   CREDITCARD 1411807189      WEB ID: 2510407970</t>
        </is>
      </c>
      <c r="D914" s="10" t="n">
        <v>-4550.02</v>
      </c>
      <c r="E914" s="9" t="inlineStr">
        <is>
          <t>ACH_DEBIT</t>
        </is>
      </c>
      <c r="F914" s="10" t="n">
        <v>82275.28999999999</v>
      </c>
      <c r="G914" s="9" t="inlineStr">
        <is>
          <t>CC - Frontier card</t>
        </is>
      </c>
      <c r="H914">
        <f>IFERROR(INDEX(Categories!$A$5:$A$93,MATCH(G914,Categories!$B$5:$B$93,0)),"")</f>
        <v/>
      </c>
      <c r="I914" s="9" t="inlineStr">
        <is>
          <t>R</t>
        </is>
      </c>
      <c r="J914" s="9" t="inlineStr">
        <is>
          <t>Barclaycard - assumed this is the Frontier Airlines card, please confirm</t>
        </is>
      </c>
    </row>
    <row r="915">
      <c r="A915" s="9" t="inlineStr">
        <is>
          <t>Checking ...0861</t>
        </is>
      </c>
      <c r="B915" s="29" t="n">
        <v>46153</v>
      </c>
      <c r="C915" s="9" t="inlineStr">
        <is>
          <t>PAYPAL           INST XFER  PPCR CC REPAYME WEB ID: PAYPALSI77</t>
        </is>
      </c>
      <c r="D915" s="10" t="n">
        <v>-8768.01</v>
      </c>
      <c r="E915" s="9" t="inlineStr">
        <is>
          <t>ACH_DEBIT</t>
        </is>
      </c>
      <c r="F915" s="10" t="n">
        <v>86825.31</v>
      </c>
      <c r="G915" s="9" t="inlineStr">
        <is>
          <t>CC - paypal</t>
        </is>
      </c>
      <c r="H915">
        <f>IFERROR(INDEX(Categories!$A$5:$A$93,MATCH(G915,Categories!$B$5:$B$93,0)),"")</f>
        <v/>
      </c>
      <c r="I915" s="9" t="inlineStr">
        <is>
          <t>H</t>
        </is>
      </c>
      <c r="J915" s="9" t="inlineStr"/>
    </row>
    <row r="916">
      <c r="A916" s="9" t="inlineStr">
        <is>
          <t>Checking ...0861</t>
        </is>
      </c>
      <c r="B916" s="29" t="n">
        <v>46153</v>
      </c>
      <c r="C916" s="9" t="inlineStr">
        <is>
          <t>Klarna*wheeltop.us Columbus OH               05/11</t>
        </is>
      </c>
      <c r="D916" s="10" t="n">
        <v>-66.34999999999999</v>
      </c>
      <c r="E916" s="9" t="inlineStr">
        <is>
          <t>DEBIT_CARD</t>
        </is>
      </c>
      <c r="F916" s="10" t="n">
        <v>95593.32000000001</v>
      </c>
      <c r="G916" s="9" t="inlineStr">
        <is>
          <t>Klarna</t>
        </is>
      </c>
      <c r="H916">
        <f>IFERROR(INDEX(Categories!$A$5:$A$93,MATCH(G916,Categories!$B$5:$B$93,0)),"")</f>
        <v/>
      </c>
      <c r="I916" s="9" t="inlineStr">
        <is>
          <t>H</t>
        </is>
      </c>
      <c r="J916" s="9" t="inlineStr"/>
    </row>
    <row r="917">
      <c r="A917" s="9" t="inlineStr">
        <is>
          <t>Checking ...0861</t>
        </is>
      </c>
      <c r="B917" s="29" t="n">
        <v>46153</v>
      </c>
      <c r="C917" s="9" t="inlineStr">
        <is>
          <t>MCDONALD'S F10887 SALINAS CA                 05/10</t>
        </is>
      </c>
      <c r="D917" s="10" t="n">
        <v>-21.61</v>
      </c>
      <c r="E917" s="9" t="inlineStr">
        <is>
          <t>DEBIT_CARD</t>
        </is>
      </c>
      <c r="F917" s="10" t="n">
        <v>95659.67</v>
      </c>
      <c r="G917" s="9" t="inlineStr">
        <is>
          <t>Food - Eat Out</t>
        </is>
      </c>
      <c r="H917">
        <f>IFERROR(INDEX(Categories!$A$5:$A$93,MATCH(G917,Categories!$B$5:$B$93,0)),"")</f>
        <v/>
      </c>
      <c r="I917" s="9" t="inlineStr">
        <is>
          <t>D</t>
        </is>
      </c>
      <c r="J917" s="9" t="inlineStr">
        <is>
          <t>Restaurant/fast-food - defaulted to Eat Out; move to Food - Ailynn/Chris/Misc if you know whose order it was</t>
        </is>
      </c>
    </row>
    <row r="918">
      <c r="A918" s="9" t="inlineStr">
        <is>
          <t>Checking ...0861</t>
        </is>
      </c>
      <c r="B918" s="29" t="n">
        <v>46153</v>
      </c>
      <c r="C918" s="9" t="inlineStr">
        <is>
          <t>SHELL SERVICE STATION SALINAS CA     290322  05/10</t>
        </is>
      </c>
      <c r="D918" s="10" t="n">
        <v>-96.39</v>
      </c>
      <c r="E918" s="9" t="inlineStr">
        <is>
          <t>DEBIT_CARD</t>
        </is>
      </c>
      <c r="F918" s="10" t="n">
        <v>95681.28</v>
      </c>
      <c r="G918" s="9" t="inlineStr">
        <is>
          <t>Gas</t>
        </is>
      </c>
      <c r="H918">
        <f>IFERROR(INDEX(Categories!$A$5:$A$93,MATCH(G918,Categories!$B$5:$B$93,0)),"")</f>
        <v/>
      </c>
      <c r="I918" s="9" t="inlineStr">
        <is>
          <t>D</t>
        </is>
      </c>
      <c r="J918" s="9" t="inlineStr"/>
    </row>
    <row r="919">
      <c r="A919" s="9" t="inlineStr">
        <is>
          <t>Checking ...0861</t>
        </is>
      </c>
      <c r="B919" s="29" t="n">
        <v>46153</v>
      </c>
      <c r="C919" s="9" t="inlineStr">
        <is>
          <t>GIV*FIRST PRESBY 831-4227811 CA              05/10</t>
        </is>
      </c>
      <c r="D919" s="10" t="n">
        <v>-20</v>
      </c>
      <c r="E919" s="9" t="inlineStr">
        <is>
          <t>DEBIT_CARD</t>
        </is>
      </c>
      <c r="F919" s="10" t="n">
        <v>95777.67</v>
      </c>
      <c r="G919" s="9" t="inlineStr">
        <is>
          <t>Others</t>
        </is>
      </c>
      <c r="H919">
        <f>IFERROR(INDEX(Categories!$A$5:$A$93,MATCH(G919,Categories!$B$5:$B$93,0)),"")</f>
        <v/>
      </c>
      <c r="I919" s="9" t="inlineStr">
        <is>
          <t>H</t>
        </is>
      </c>
      <c r="J919" s="9" t="inlineStr">
        <is>
          <t>Recurring $20 church/charitable giving - no matching category in your list, put under Others</t>
        </is>
      </c>
    </row>
    <row r="920">
      <c r="A920" s="9" t="inlineStr">
        <is>
          <t>Checking ...0861</t>
        </is>
      </c>
      <c r="B920" s="29" t="n">
        <v>46153</v>
      </c>
      <c r="C920" s="9" t="inlineStr">
        <is>
          <t>WINGSTOP 2088 650-019-7954 CA                05/09</t>
        </is>
      </c>
      <c r="D920" s="10" t="n">
        <v>-53.55</v>
      </c>
      <c r="E920" s="9" t="inlineStr">
        <is>
          <t>DEBIT_CARD</t>
        </is>
      </c>
      <c r="F920" s="10" t="n">
        <v>95797.67</v>
      </c>
      <c r="G920" s="9" t="inlineStr">
        <is>
          <t>Food - Eat Out</t>
        </is>
      </c>
      <c r="H920">
        <f>IFERROR(INDEX(Categories!$A$5:$A$93,MATCH(G920,Categories!$B$5:$B$93,0)),"")</f>
        <v/>
      </c>
      <c r="I920" s="9" t="inlineStr">
        <is>
          <t>D</t>
        </is>
      </c>
      <c r="J920" s="9" t="inlineStr">
        <is>
          <t>Restaurant/fast-food - defaulted to Eat Out; move to Food - Ailynn/Chris/Misc if you know whose order it was</t>
        </is>
      </c>
    </row>
    <row r="921">
      <c r="A921" s="9" t="inlineStr">
        <is>
          <t>Checking ...0861</t>
        </is>
      </c>
      <c r="B921" s="29" t="n">
        <v>46153</v>
      </c>
      <c r="C921" s="9" t="inlineStr">
        <is>
          <t>SAFEWAY #2654 SALINAS CA                     05/09</t>
        </is>
      </c>
      <c r="D921" s="10" t="n">
        <v>-230.13</v>
      </c>
      <c r="E921" s="9" t="inlineStr">
        <is>
          <t>DEBIT_CARD</t>
        </is>
      </c>
      <c r="F921" s="10" t="n">
        <v>95851.22</v>
      </c>
      <c r="G921" s="9" t="inlineStr">
        <is>
          <t>Groceries - Safeway</t>
        </is>
      </c>
      <c r="H921">
        <f>IFERROR(INDEX(Categories!$A$5:$A$93,MATCH(G921,Categories!$B$5:$B$93,0)),"")</f>
        <v/>
      </c>
      <c r="I921" s="9" t="inlineStr">
        <is>
          <t>H</t>
        </is>
      </c>
      <c r="J921" s="9" t="inlineStr"/>
    </row>
    <row r="922">
      <c r="A922" s="9" t="inlineStr">
        <is>
          <t>Checking ...0861</t>
        </is>
      </c>
      <c r="B922" s="29" t="n">
        <v>46153</v>
      </c>
      <c r="C922" s="9" t="inlineStr">
        <is>
          <t>SQ *LOPEZ FINE WINES CORRAL DE TIE CA        05/09</t>
        </is>
      </c>
      <c r="D922" s="10" t="n">
        <v>-15.26</v>
      </c>
      <c r="E922" s="9" t="inlineStr">
        <is>
          <t>DEBIT_CARD</t>
        </is>
      </c>
      <c r="F922" s="10" t="n">
        <v>96081.35000000001</v>
      </c>
      <c r="G922" s="9" t="inlineStr">
        <is>
          <t>Food - Eat Out</t>
        </is>
      </c>
      <c r="H922">
        <f>IFERROR(INDEX(Categories!$A$5:$A$93,MATCH(G922,Categories!$B$5:$B$93,0)),"")</f>
        <v/>
      </c>
      <c r="I922" s="9" t="inlineStr">
        <is>
          <t>D</t>
        </is>
      </c>
      <c r="J922" s="9" t="inlineStr"/>
    </row>
    <row r="923">
      <c r="A923" s="9" t="inlineStr">
        <is>
          <t>Checking ...0861</t>
        </is>
      </c>
      <c r="B923" s="29" t="n">
        <v>46153</v>
      </c>
      <c r="C923" s="9" t="inlineStr">
        <is>
          <t>GOOGLE *HARNA Workout 855-836-3987 CA        05/09</t>
        </is>
      </c>
      <c r="D923" s="10" t="n">
        <v>-14.99</v>
      </c>
      <c r="E923" s="9" t="inlineStr">
        <is>
          <t>DEBIT_CARD</t>
        </is>
      </c>
      <c r="F923" s="10" t="n">
        <v>96096.61</v>
      </c>
      <c r="G923" s="9" t="inlineStr">
        <is>
          <t>Harna fit</t>
        </is>
      </c>
      <c r="H923">
        <f>IFERROR(INDEX(Categories!$A$5:$A$93,MATCH(G923,Categories!$B$5:$B$93,0)),"")</f>
        <v/>
      </c>
      <c r="I923" s="9" t="inlineStr">
        <is>
          <t>H</t>
        </is>
      </c>
      <c r="J923" s="9" t="inlineStr"/>
    </row>
    <row r="924">
      <c r="A924" s="9" t="inlineStr">
        <is>
          <t>Checking ...0861</t>
        </is>
      </c>
      <c r="B924" s="29" t="n">
        <v>46153</v>
      </c>
      <c r="C924" s="9" t="inlineStr">
        <is>
          <t>Payment to Chase card ending in 1755 05/11</t>
        </is>
      </c>
      <c r="D924" s="10" t="n">
        <v>-409.5</v>
      </c>
      <c r="E924" s="9" t="inlineStr">
        <is>
          <t>LOAN_PMT</t>
        </is>
      </c>
      <c r="F924" s="10" t="n">
        <v>96111.60000000001</v>
      </c>
      <c r="G924" s="9" t="inlineStr">
        <is>
          <t>CC - cashback MC</t>
        </is>
      </c>
      <c r="H924">
        <f>IFERROR(INDEX(Categories!$A$5:$A$93,MATCH(G924,Categories!$B$5:$B$93,0)),"")</f>
        <v/>
      </c>
      <c r="I924" s="9" t="inlineStr">
        <is>
          <t>R</t>
        </is>
      </c>
      <c r="J924" s="9" t="inlineStr">
        <is>
          <t>Payment to a Chase card ending 1755 - guessed this is the cashback Mastercard, please confirm</t>
        </is>
      </c>
    </row>
    <row r="925">
      <c r="A925" s="9" t="inlineStr">
        <is>
          <t>Checking ...0861</t>
        </is>
      </c>
      <c r="B925" s="29" t="n">
        <v>46153</v>
      </c>
      <c r="C925" s="9" t="inlineStr">
        <is>
          <t>Klarna*Temu.com Columbus OH                  05/09</t>
        </is>
      </c>
      <c r="D925" s="10" t="n">
        <v>-9.15</v>
      </c>
      <c r="E925" s="9" t="inlineStr">
        <is>
          <t>DEBIT_CARD</t>
        </is>
      </c>
      <c r="F925" s="10" t="n">
        <v>96521.10000000001</v>
      </c>
      <c r="G925" s="9" t="inlineStr">
        <is>
          <t>Klarna</t>
        </is>
      </c>
      <c r="H925">
        <f>IFERROR(INDEX(Categories!$A$5:$A$93,MATCH(G925,Categories!$B$5:$B$93,0)),"")</f>
        <v/>
      </c>
      <c r="I925" s="9" t="inlineStr">
        <is>
          <t>H</t>
        </is>
      </c>
      <c r="J925" s="9" t="inlineStr"/>
    </row>
    <row r="926">
      <c r="A926" s="9" t="inlineStr">
        <is>
          <t>Checking ...0861</t>
        </is>
      </c>
      <c r="B926" s="29" t="n">
        <v>46153</v>
      </c>
      <c r="C926" s="9" t="inlineStr">
        <is>
          <t>temu.com temu.com CA                         05/09</t>
        </is>
      </c>
      <c r="D926" s="10" t="n">
        <v>-19.52</v>
      </c>
      <c r="E926" s="9" t="inlineStr">
        <is>
          <t>DEBIT_CARD</t>
        </is>
      </c>
      <c r="F926" s="10" t="n">
        <v>96530.25</v>
      </c>
      <c r="G926" s="9" t="inlineStr">
        <is>
          <t>Shop - Temu</t>
        </is>
      </c>
      <c r="H926">
        <f>IFERROR(INDEX(Categories!$A$5:$A$93,MATCH(G926,Categories!$B$5:$B$93,0)),"")</f>
        <v/>
      </c>
      <c r="I926" s="9" t="inlineStr">
        <is>
          <t>H</t>
        </is>
      </c>
      <c r="J926" s="9" t="inlineStr"/>
    </row>
    <row r="927">
      <c r="A927" s="9" t="inlineStr">
        <is>
          <t>Checking ...0861</t>
        </is>
      </c>
      <c r="B927" s="29" t="n">
        <v>46153</v>
      </c>
      <c r="C927" s="9" t="inlineStr">
        <is>
          <t>BARCLAYCARD US   CREDITCARD 1401510794      WEB ID: 2510407970</t>
        </is>
      </c>
      <c r="D927" s="10" t="n">
        <v>-94.78</v>
      </c>
      <c r="E927" s="9" t="inlineStr">
        <is>
          <t>ACH_DEBIT</t>
        </is>
      </c>
      <c r="F927" s="10" t="n">
        <v>96549.77</v>
      </c>
      <c r="G927" s="9" t="inlineStr">
        <is>
          <t>CC - Frontier card</t>
        </is>
      </c>
      <c r="H927">
        <f>IFERROR(INDEX(Categories!$A$5:$A$93,MATCH(G927,Categories!$B$5:$B$93,0)),"")</f>
        <v/>
      </c>
      <c r="I927" s="9" t="inlineStr">
        <is>
          <t>R</t>
        </is>
      </c>
      <c r="J927" s="9" t="inlineStr">
        <is>
          <t>Barclaycard - assumed this is the Frontier Airlines card, please confirm</t>
        </is>
      </c>
    </row>
    <row r="928">
      <c r="A928" s="9" t="inlineStr">
        <is>
          <t>Checking ...0861</t>
        </is>
      </c>
      <c r="B928" s="29" t="n">
        <v>46153</v>
      </c>
      <c r="C928" s="9" t="inlineStr">
        <is>
          <t>HABIT SALINAS 306 SALINAS CA                 05/08</t>
        </is>
      </c>
      <c r="D928" s="10" t="n">
        <v>-13.43</v>
      </c>
      <c r="E928" s="9" t="inlineStr">
        <is>
          <t>DEBIT_CARD</t>
        </is>
      </c>
      <c r="F928" s="10" t="n">
        <v>96644.55</v>
      </c>
      <c r="G928" s="9" t="inlineStr">
        <is>
          <t>Food - Eat Out</t>
        </is>
      </c>
      <c r="H928">
        <f>IFERROR(INDEX(Categories!$A$5:$A$93,MATCH(G928,Categories!$B$5:$B$93,0)),"")</f>
        <v/>
      </c>
      <c r="I928" s="9" t="inlineStr">
        <is>
          <t>D</t>
        </is>
      </c>
      <c r="J928" s="9" t="inlineStr">
        <is>
          <t>Restaurant/fast-food - defaulted to Eat Out; move to Food - Ailynn/Chris/Misc if you know whose order it was</t>
        </is>
      </c>
    </row>
    <row r="929">
      <c r="A929" s="9" t="inlineStr">
        <is>
          <t>Checking ...0861</t>
        </is>
      </c>
      <c r="B929" s="29" t="n">
        <v>46153</v>
      </c>
      <c r="C929" s="9" t="inlineStr">
        <is>
          <t>HABIT SALINAS 306 SALINAS CA                 05/08</t>
        </is>
      </c>
      <c r="D929" s="10" t="n">
        <v>-33.83</v>
      </c>
      <c r="E929" s="9" t="inlineStr">
        <is>
          <t>DEBIT_CARD</t>
        </is>
      </c>
      <c r="F929" s="10" t="n">
        <v>96657.98</v>
      </c>
      <c r="G929" s="9" t="inlineStr">
        <is>
          <t>Food - Eat Out</t>
        </is>
      </c>
      <c r="H929">
        <f>IFERROR(INDEX(Categories!$A$5:$A$93,MATCH(G929,Categories!$B$5:$B$93,0)),"")</f>
        <v/>
      </c>
      <c r="I929" s="9" t="inlineStr">
        <is>
          <t>D</t>
        </is>
      </c>
      <c r="J929" s="9" t="inlineStr">
        <is>
          <t>Restaurant/fast-food - defaulted to Eat Out; move to Food - Ailynn/Chris/Misc if you know whose order it was</t>
        </is>
      </c>
    </row>
    <row r="930">
      <c r="A930" s="9" t="inlineStr">
        <is>
          <t>Checking ...0861</t>
        </is>
      </c>
      <c r="B930" s="29" t="n">
        <v>46153</v>
      </c>
      <c r="C930" s="9" t="inlineStr">
        <is>
          <t>MARATHON 253971 SALINAS CA                   05/08</t>
        </is>
      </c>
      <c r="D930" s="10" t="n">
        <v>-15.14</v>
      </c>
      <c r="E930" s="9" t="inlineStr">
        <is>
          <t>DEBIT_CARD</t>
        </is>
      </c>
      <c r="F930" s="10" t="n">
        <v>96691.81</v>
      </c>
      <c r="G930" s="9" t="inlineStr">
        <is>
          <t>Gas</t>
        </is>
      </c>
      <c r="H930">
        <f>IFERROR(INDEX(Categories!$A$5:$A$93,MATCH(G930,Categories!$B$5:$B$93,0)),"")</f>
        <v/>
      </c>
      <c r="I930" s="9" t="inlineStr">
        <is>
          <t>D</t>
        </is>
      </c>
      <c r="J930" s="9" t="inlineStr"/>
    </row>
    <row r="931">
      <c r="A931" s="9" t="inlineStr">
        <is>
          <t>Checking ...0861</t>
        </is>
      </c>
      <c r="B931" s="29" t="n">
        <v>46153</v>
      </c>
      <c r="C931" s="9" t="inlineStr">
        <is>
          <t>LA SALON AND SPA SALINAS CA                  05/08</t>
        </is>
      </c>
      <c r="D931" s="10" t="n">
        <v>-25</v>
      </c>
      <c r="E931" s="9" t="inlineStr">
        <is>
          <t>DEBIT_CARD</t>
        </is>
      </c>
      <c r="F931" s="10" t="n">
        <v>96706.95</v>
      </c>
      <c r="G931" s="9" t="inlineStr">
        <is>
          <t>Shop - Others</t>
        </is>
      </c>
      <c r="H931">
        <f>IFERROR(INDEX(Categories!$A$5:$A$93,MATCH(G931,Categories!$B$5:$B$93,0)),"")</f>
        <v/>
      </c>
      <c r="I931" s="9" t="inlineStr">
        <is>
          <t>D</t>
        </is>
      </c>
      <c r="J931" s="9" t="inlineStr"/>
    </row>
    <row r="932">
      <c r="A932" s="9" t="inlineStr">
        <is>
          <t>Checking ...0861</t>
        </is>
      </c>
      <c r="B932" s="29" t="n">
        <v>46153</v>
      </c>
      <c r="C932" s="9" t="inlineStr">
        <is>
          <t>PAYPAL           TRANSFER                   PPD ID: PAYPALSD11</t>
        </is>
      </c>
      <c r="D932" s="10" t="n">
        <v>137.82</v>
      </c>
      <c r="E932" s="9" t="inlineStr">
        <is>
          <t>ACH_CREDIT</t>
        </is>
      </c>
      <c r="F932" s="10" t="n">
        <v>96731.95</v>
      </c>
      <c r="G932" s="9" t="inlineStr">
        <is>
          <t>Transfer - PayPal to Checking</t>
        </is>
      </c>
      <c r="H932">
        <f>IFERROR(INDEX(Categories!$A$5:$A$93,MATCH(G932,Categories!$B$5:$B$93,0)),"")</f>
        <v/>
      </c>
      <c r="I932" s="9" t="inlineStr">
        <is>
          <t>H</t>
        </is>
      </c>
      <c r="J932" s="9" t="inlineStr"/>
    </row>
    <row r="933">
      <c r="A933" s="9" t="inlineStr">
        <is>
          <t>Checking ...0861</t>
        </is>
      </c>
      <c r="B933" s="29" t="n">
        <v>46153</v>
      </c>
      <c r="C933" s="9" t="inlineStr">
        <is>
          <t>UNITED PARCEL SE PAYROLL                    PPD ID: 4362407381</t>
        </is>
      </c>
      <c r="D933" s="10" t="n">
        <v>94123.08</v>
      </c>
      <c r="E933" s="9" t="inlineStr">
        <is>
          <t>ACH_CREDIT</t>
        </is>
      </c>
      <c r="F933" s="10" t="n">
        <v>96594.13</v>
      </c>
      <c r="G933" s="9" t="inlineStr">
        <is>
          <t>Key Salary</t>
        </is>
      </c>
      <c r="H933">
        <f>IFERROR(INDEX(Categories!$A$5:$A$93,MATCH(G933,Categories!$B$5:$B$93,0)),"")</f>
        <v/>
      </c>
      <c r="I933" s="9" t="inlineStr">
        <is>
          <t>R</t>
        </is>
      </c>
      <c r="J933" s="9" t="inlineStr">
        <is>
          <t>UPS payroll deposit - assumed this is your own Key Salary income, please confirm</t>
        </is>
      </c>
    </row>
    <row r="934">
      <c r="A934" s="9" t="inlineStr">
        <is>
          <t>Checking ...0861</t>
        </is>
      </c>
      <c r="B934" s="29" t="n">
        <v>46150</v>
      </c>
      <c r="C934" s="9" t="inlineStr">
        <is>
          <t>PAYPAL           TRANSFER   ADD TO BALANCE  WEB ID: PAYPALSD22</t>
        </is>
      </c>
      <c r="D934" s="10" t="n">
        <v>-50</v>
      </c>
      <c r="E934" s="9" t="inlineStr">
        <is>
          <t>ACH_DEBIT</t>
        </is>
      </c>
      <c r="F934" s="10" t="n">
        <v>2471.05</v>
      </c>
      <c r="G934" s="9" t="inlineStr">
        <is>
          <t>Transfer - Checking to PayPal</t>
        </is>
      </c>
      <c r="H934">
        <f>IFERROR(INDEX(Categories!$A$5:$A$93,MATCH(G934,Categories!$B$5:$B$93,0)),"")</f>
        <v/>
      </c>
      <c r="I934" s="9" t="inlineStr">
        <is>
          <t>H</t>
        </is>
      </c>
      <c r="J934" s="9" t="inlineStr"/>
    </row>
    <row r="935">
      <c r="A935" s="9" t="inlineStr">
        <is>
          <t>Checking ...0861</t>
        </is>
      </c>
      <c r="B935" s="29" t="n">
        <v>46150</v>
      </c>
      <c r="C935" s="9" t="inlineStr">
        <is>
          <t>KLARNA* KLARNA KLARNA.COM OH                 05/08</t>
        </is>
      </c>
      <c r="D935" s="10" t="n">
        <v>-17.64</v>
      </c>
      <c r="E935" s="9" t="inlineStr">
        <is>
          <t>DEBIT_CARD</t>
        </is>
      </c>
      <c r="F935" s="10" t="n">
        <v>2521.05</v>
      </c>
      <c r="G935" s="9" t="inlineStr">
        <is>
          <t>Klarna</t>
        </is>
      </c>
      <c r="H935">
        <f>IFERROR(INDEX(Categories!$A$5:$A$93,MATCH(G935,Categories!$B$5:$B$93,0)),"")</f>
        <v/>
      </c>
      <c r="I935" s="9" t="inlineStr">
        <is>
          <t>H</t>
        </is>
      </c>
      <c r="J935" s="9" t="inlineStr"/>
    </row>
    <row r="936">
      <c r="A936" s="9" t="inlineStr">
        <is>
          <t>Checking ...0861</t>
        </is>
      </c>
      <c r="B936" s="29" t="n">
        <v>46150</v>
      </c>
      <c r="C936" s="9" t="inlineStr">
        <is>
          <t>SP+AFF * NORTH ALPINE 855-423-3729 CA        05/08</t>
        </is>
      </c>
      <c r="D936" s="10" t="n">
        <v>-17.44</v>
      </c>
      <c r="E936" s="9" t="inlineStr">
        <is>
          <t>DEBIT_CARD</t>
        </is>
      </c>
      <c r="F936" s="10" t="n">
        <v>2538.69</v>
      </c>
      <c r="G936" s="9" t="inlineStr">
        <is>
          <t>Shop - Others</t>
        </is>
      </c>
      <c r="H936">
        <f>IFERROR(INDEX(Categories!$A$5:$A$93,MATCH(G936,Categories!$B$5:$B$93,0)),"")</f>
        <v/>
      </c>
      <c r="I936" s="9" t="inlineStr">
        <is>
          <t>R</t>
        </is>
      </c>
      <c r="J936" s="9" t="inlineStr">
        <is>
          <t>Small online-shop charge via an affiliate/Affirm-style processor - description doesn't name the actual store</t>
        </is>
      </c>
    </row>
    <row r="937">
      <c r="A937" s="9" t="inlineStr">
        <is>
          <t>Checking ...0861</t>
        </is>
      </c>
      <c r="B937" s="29" t="n">
        <v>46150</v>
      </c>
      <c r="C937" s="9" t="inlineStr">
        <is>
          <t>Online Transfer to  SAV ...5953 transaction#: 29039931319</t>
        </is>
      </c>
      <c r="D937" s="10" t="n">
        <v>-25</v>
      </c>
      <c r="E937" s="9" t="inlineStr">
        <is>
          <t>ACCT_XFER</t>
        </is>
      </c>
      <c r="F937" s="10" t="n">
        <v>2556.13</v>
      </c>
      <c r="G937" s="9" t="inlineStr">
        <is>
          <t>Transfer - Checking to Savings</t>
        </is>
      </c>
      <c r="H937">
        <f>IFERROR(INDEX(Categories!$A$5:$A$93,MATCH(G937,Categories!$B$5:$B$93,0)),"")</f>
        <v/>
      </c>
      <c r="I937" s="9" t="inlineStr">
        <is>
          <t>H</t>
        </is>
      </c>
      <c r="J937" s="9" t="inlineStr"/>
    </row>
    <row r="938">
      <c r="A938" s="9" t="inlineStr">
        <is>
          <t>Checking ...0861</t>
        </is>
      </c>
      <c r="B938" s="29" t="n">
        <v>46150</v>
      </c>
      <c r="C938" s="9" t="inlineStr">
        <is>
          <t>Netflix 1 8445052993 CA                      05/08</t>
        </is>
      </c>
      <c r="D938" s="10" t="n">
        <v>-29.98</v>
      </c>
      <c r="E938" s="9" t="inlineStr">
        <is>
          <t>DEBIT_CARD</t>
        </is>
      </c>
      <c r="F938" s="10" t="n">
        <v>2581.13</v>
      </c>
      <c r="G938" s="9" t="inlineStr">
        <is>
          <t>Netflix</t>
        </is>
      </c>
      <c r="H938">
        <f>IFERROR(INDEX(Categories!$A$5:$A$93,MATCH(G938,Categories!$B$5:$B$93,0)),"")</f>
        <v/>
      </c>
      <c r="I938" s="9" t="inlineStr">
        <is>
          <t>H</t>
        </is>
      </c>
      <c r="J938" s="9" t="inlineStr"/>
    </row>
    <row r="939">
      <c r="A939" s="9" t="inlineStr">
        <is>
          <t>Checking ...0861</t>
        </is>
      </c>
      <c r="B939" s="29" t="n">
        <v>46150</v>
      </c>
      <c r="C939" s="9" t="inlineStr">
        <is>
          <t>KHAO SAN THAI SALINAS CA                     05/07</t>
        </is>
      </c>
      <c r="D939" s="10" t="n">
        <v>-58.34</v>
      </c>
      <c r="E939" s="9" t="inlineStr">
        <is>
          <t>DEBIT_CARD</t>
        </is>
      </c>
      <c r="F939" s="10" t="n">
        <v>2611.11</v>
      </c>
      <c r="G939" s="9" t="inlineStr">
        <is>
          <t>Food - Eat Out</t>
        </is>
      </c>
      <c r="H939">
        <f>IFERROR(INDEX(Categories!$A$5:$A$93,MATCH(G939,Categories!$B$5:$B$93,0)),"")</f>
        <v/>
      </c>
      <c r="I939" s="9" t="inlineStr">
        <is>
          <t>D</t>
        </is>
      </c>
      <c r="J939" s="9" t="inlineStr">
        <is>
          <t>Restaurant/fast-food - defaulted to Eat Out; move to Food - Ailynn/Chris/Misc if you know whose order it was</t>
        </is>
      </c>
    </row>
    <row r="940">
      <c r="A940" s="9" t="inlineStr">
        <is>
          <t>Checking ...0861</t>
        </is>
      </c>
      <c r="B940" s="29" t="n">
        <v>46150</v>
      </c>
      <c r="C940" s="9" t="inlineStr">
        <is>
          <t>PAYPAL *ALIPAYUSINC 402-935-7733 CA          05/08</t>
        </is>
      </c>
      <c r="D940" s="10" t="n">
        <v>-20.56</v>
      </c>
      <c r="E940" s="9" t="inlineStr">
        <is>
          <t>DEBIT_CARD</t>
        </is>
      </c>
      <c r="F940" s="10" t="n">
        <v>2669.45</v>
      </c>
      <c r="G940" s="9" t="inlineStr">
        <is>
          <t>paypal - Alipay</t>
        </is>
      </c>
      <c r="H940">
        <f>IFERROR(INDEX(Categories!$A$5:$A$93,MATCH(G940,Categories!$B$5:$B$93,0)),"")</f>
        <v/>
      </c>
      <c r="I940" s="9" t="inlineStr">
        <is>
          <t>H</t>
        </is>
      </c>
      <c r="J940" s="9" t="inlineStr"/>
    </row>
    <row r="941">
      <c r="A941" s="9" t="inlineStr">
        <is>
          <t>Checking ...0861</t>
        </is>
      </c>
      <c r="B941" s="29" t="n">
        <v>46150</v>
      </c>
      <c r="C941" s="9" t="inlineStr">
        <is>
          <t>Zelle payment from RHIAN ABIGAIL ALMO 29148483142</t>
        </is>
      </c>
      <c r="D941" s="10" t="n">
        <v>16</v>
      </c>
      <c r="E941" s="9" t="inlineStr">
        <is>
          <t>QUICKPAY_CREDIT</t>
        </is>
      </c>
      <c r="F941" s="10" t="n">
        <v>2690.01</v>
      </c>
      <c r="G941" s="9" t="inlineStr">
        <is>
          <t>Others - Income</t>
        </is>
      </c>
      <c r="H941">
        <f>IFERROR(INDEX(Categories!$A$5:$A$93,MATCH(G941,Categories!$B$5:$B$93,0)),"")</f>
        <v/>
      </c>
      <c r="I941" s="9" t="inlineStr">
        <is>
          <t>R</t>
        </is>
      </c>
      <c r="J941" s="9" t="inlineStr">
        <is>
          <t>Zelle received - please tell me who this person is so I can map them to a category</t>
        </is>
      </c>
    </row>
    <row r="942">
      <c r="A942" s="9" t="inlineStr">
        <is>
          <t>Checking ...0861</t>
        </is>
      </c>
      <c r="B942" s="29" t="n">
        <v>46149</v>
      </c>
      <c r="C942" s="9" t="inlineStr">
        <is>
          <t>TAQUERIA VALLARTA FELTON CA                  05/07</t>
        </is>
      </c>
      <c r="D942" s="10" t="n">
        <v>-31.96</v>
      </c>
      <c r="E942" s="9" t="inlineStr">
        <is>
          <t>DEBIT_CARD</t>
        </is>
      </c>
      <c r="F942" s="10" t="n">
        <v>2674.01</v>
      </c>
      <c r="G942" s="9" t="inlineStr">
        <is>
          <t>Food - Eat Out</t>
        </is>
      </c>
      <c r="H942">
        <f>IFERROR(INDEX(Categories!$A$5:$A$93,MATCH(G942,Categories!$B$5:$B$93,0)),"")</f>
        <v/>
      </c>
      <c r="I942" s="9" t="inlineStr">
        <is>
          <t>D</t>
        </is>
      </c>
      <c r="J942" s="9" t="inlineStr">
        <is>
          <t>Restaurant/fast-food - defaulted to Eat Out; move to Food - Ailynn/Chris/Misc if you know whose order it was</t>
        </is>
      </c>
    </row>
    <row r="943">
      <c r="A943" s="9" t="inlineStr">
        <is>
          <t>Checking ...0861</t>
        </is>
      </c>
      <c r="B943" s="29" t="n">
        <v>46149</v>
      </c>
      <c r="C943" s="9" t="inlineStr">
        <is>
          <t>Sendwave 844-9335122 MA                      05/07</t>
        </is>
      </c>
      <c r="D943" s="10" t="n">
        <v>-18.48</v>
      </c>
      <c r="E943" s="9" t="inlineStr">
        <is>
          <t>DEBIT_CARD</t>
        </is>
      </c>
      <c r="F943" s="10" t="n">
        <v>2705.97</v>
      </c>
      <c r="G943" s="9" t="inlineStr">
        <is>
          <t>Remittance - others</t>
        </is>
      </c>
      <c r="H943">
        <f>IFERROR(INDEX(Categories!$A$5:$A$93,MATCH(G943,Categories!$B$5:$B$93,0)),"")</f>
        <v/>
      </c>
      <c r="I943" s="9" t="inlineStr">
        <is>
          <t>R</t>
        </is>
      </c>
      <c r="J943" s="9" t="inlineStr">
        <is>
          <t>Remittance app transfer - recipient not shown; please tell me if this is Aron, Aron's tuition, or someone else</t>
        </is>
      </c>
    </row>
    <row r="944">
      <c r="A944" s="9" t="inlineStr">
        <is>
          <t>Checking ...0861</t>
        </is>
      </c>
      <c r="B944" s="29" t="n">
        <v>46149</v>
      </c>
      <c r="C944" s="9" t="inlineStr">
        <is>
          <t>CALWATER SERVICE BILLPAY                    PPD ID: 0000000160</t>
        </is>
      </c>
      <c r="D944" s="10" t="n">
        <v>-45.53</v>
      </c>
      <c r="E944" s="9" t="inlineStr">
        <is>
          <t>ACH_DEBIT</t>
        </is>
      </c>
      <c r="F944" s="10" t="n">
        <v>2724.45</v>
      </c>
      <c r="G944" s="9" t="inlineStr">
        <is>
          <t>Cal Water</t>
        </is>
      </c>
      <c r="H944">
        <f>IFERROR(INDEX(Categories!$A$5:$A$93,MATCH(G944,Categories!$B$5:$B$93,0)),"")</f>
        <v/>
      </c>
      <c r="I944" s="9" t="inlineStr">
        <is>
          <t>H</t>
        </is>
      </c>
      <c r="J944" s="9" t="inlineStr"/>
    </row>
    <row r="945">
      <c r="A945" s="9" t="inlineStr">
        <is>
          <t>Checking ...0861</t>
        </is>
      </c>
      <c r="B945" s="29" t="n">
        <v>46149</v>
      </c>
      <c r="C945" s="9" t="inlineStr">
        <is>
          <t>AMAZON MARKETPLA INTERNET   043000098680270 WEB ID: 9049016352</t>
        </is>
      </c>
      <c r="D945" s="10" t="n">
        <v>-75.34999999999999</v>
      </c>
      <c r="E945" s="9" t="inlineStr">
        <is>
          <t>ACH_DEBIT</t>
        </is>
      </c>
      <c r="F945" s="10" t="n">
        <v>2769.98</v>
      </c>
      <c r="G945" s="9" t="inlineStr">
        <is>
          <t>Shop - Amazon</t>
        </is>
      </c>
      <c r="H945">
        <f>IFERROR(INDEX(Categories!$A$5:$A$93,MATCH(G945,Categories!$B$5:$B$93,0)),"")</f>
        <v/>
      </c>
      <c r="I945" s="9" t="inlineStr">
        <is>
          <t>H</t>
        </is>
      </c>
      <c r="J945" s="9" t="inlineStr"/>
    </row>
    <row r="946">
      <c r="A946" s="9" t="inlineStr">
        <is>
          <t>Checking ...0861</t>
        </is>
      </c>
      <c r="B946" s="29" t="n">
        <v>46149</v>
      </c>
      <c r="C946" s="9" t="inlineStr">
        <is>
          <t>Credit One Bank  Payment    54888125        WEB ID: WEB000004</t>
        </is>
      </c>
      <c r="D946" s="10" t="n">
        <v>-50</v>
      </c>
      <c r="E946" s="9" t="inlineStr">
        <is>
          <t>ACH_DEBIT</t>
        </is>
      </c>
      <c r="F946" s="10" t="n">
        <v>2845.33</v>
      </c>
      <c r="G946" s="9" t="inlineStr">
        <is>
          <t>CC - Credit 1</t>
        </is>
      </c>
      <c r="H946">
        <f>IFERROR(INDEX(Categories!$A$5:$A$93,MATCH(G946,Categories!$B$5:$B$93,0)),"")</f>
        <v/>
      </c>
      <c r="I946" s="9" t="inlineStr">
        <is>
          <t>H</t>
        </is>
      </c>
      <c r="J946" s="9" t="inlineStr"/>
    </row>
    <row r="947">
      <c r="A947" s="9" t="inlineStr">
        <is>
          <t>Checking ...0861</t>
        </is>
      </c>
      <c r="B947" s="29" t="n">
        <v>46149</v>
      </c>
      <c r="C947" s="9" t="inlineStr">
        <is>
          <t>PAYPAL *PYPL PAYIN4 402-935-7733 CA          05/07</t>
        </is>
      </c>
      <c r="D947" s="10" t="n">
        <v>-68.04000000000001</v>
      </c>
      <c r="E947" s="9" t="inlineStr">
        <is>
          <t>DEBIT_CARD</t>
        </is>
      </c>
      <c r="F947" s="10" t="n">
        <v>2895.33</v>
      </c>
      <c r="G947" s="9" t="inlineStr">
        <is>
          <t>Paypal pay in 4</t>
        </is>
      </c>
      <c r="H947">
        <f>IFERROR(INDEX(Categories!$A$5:$A$93,MATCH(G947,Categories!$B$5:$B$93,0)),"")</f>
        <v/>
      </c>
      <c r="I947" s="9" t="inlineStr">
        <is>
          <t>H</t>
        </is>
      </c>
      <c r="J947" s="9" t="inlineStr"/>
    </row>
    <row r="948">
      <c r="A948" s="9" t="inlineStr">
        <is>
          <t>Checking ...0861</t>
        </is>
      </c>
      <c r="B948" s="29" t="n">
        <v>46149</v>
      </c>
      <c r="C948" s="9" t="inlineStr">
        <is>
          <t>THE UPS STORE 658 831-4435800 CA             05/06</t>
        </is>
      </c>
      <c r="D948" s="10" t="n">
        <v>-33.07</v>
      </c>
      <c r="E948" s="9" t="inlineStr">
        <is>
          <t>DEBIT_CARD</t>
        </is>
      </c>
      <c r="F948" s="10" t="n">
        <v>2963.37</v>
      </c>
      <c r="G948" s="9" t="inlineStr">
        <is>
          <t>Others</t>
        </is>
      </c>
      <c r="H948">
        <f>IFERROR(INDEX(Categories!$A$5:$A$93,MATCH(G948,Categories!$B$5:$B$93,0)),"")</f>
        <v/>
      </c>
      <c r="I948" s="9" t="inlineStr">
        <is>
          <t>D</t>
        </is>
      </c>
      <c r="J948" s="9" t="inlineStr">
        <is>
          <t>Shipping/postal</t>
        </is>
      </c>
    </row>
    <row r="949">
      <c r="A949" s="9" t="inlineStr">
        <is>
          <t>Checking ...0861</t>
        </is>
      </c>
      <c r="B949" s="29" t="n">
        <v>46149</v>
      </c>
      <c r="C949" s="9" t="inlineStr">
        <is>
          <t>ARBY'S #898 SALINAS CA                       05/06</t>
        </is>
      </c>
      <c r="D949" s="10" t="n">
        <v>-20.49</v>
      </c>
      <c r="E949" s="9" t="inlineStr">
        <is>
          <t>DEBIT_CARD</t>
        </is>
      </c>
      <c r="F949" s="10" t="n">
        <v>2996.44</v>
      </c>
      <c r="G949" s="9" t="inlineStr">
        <is>
          <t>Food - Eat Out</t>
        </is>
      </c>
      <c r="H949">
        <f>IFERROR(INDEX(Categories!$A$5:$A$93,MATCH(G949,Categories!$B$5:$B$93,0)),"")</f>
        <v/>
      </c>
      <c r="I949" s="9" t="inlineStr">
        <is>
          <t>D</t>
        </is>
      </c>
      <c r="J949" s="9" t="inlineStr">
        <is>
          <t>Restaurant/fast-food - defaulted to Eat Out; move to Food - Ailynn/Chris/Misc if you know whose order it was</t>
        </is>
      </c>
    </row>
    <row r="950">
      <c r="A950" s="9" t="inlineStr">
        <is>
          <t>Checking ...0861</t>
        </is>
      </c>
      <c r="B950" s="29" t="n">
        <v>46149</v>
      </c>
      <c r="C950" s="9" t="inlineStr">
        <is>
          <t>PAYPAL *ALIPAYUSINC 402-935-7733 CA          05/06</t>
        </is>
      </c>
      <c r="D950" s="10" t="n">
        <v>3.25</v>
      </c>
      <c r="E950" s="9" t="inlineStr">
        <is>
          <t>DEBIT_CARD</t>
        </is>
      </c>
      <c r="F950" s="10" t="n">
        <v>3016.93</v>
      </c>
      <c r="G950" s="9" t="inlineStr">
        <is>
          <t>paypal - Alipay</t>
        </is>
      </c>
      <c r="H950">
        <f>IFERROR(INDEX(Categories!$A$5:$A$93,MATCH(G950,Categories!$B$5:$B$93,0)),"")</f>
        <v/>
      </c>
      <c r="I950" s="9" t="inlineStr">
        <is>
          <t>H</t>
        </is>
      </c>
      <c r="J950" s="9" t="inlineStr"/>
    </row>
    <row r="951">
      <c r="A951" s="9" t="inlineStr">
        <is>
          <t>Checking ...0861</t>
        </is>
      </c>
      <c r="B951" s="29" t="n">
        <v>46148</v>
      </c>
      <c r="C951" s="9" t="inlineStr">
        <is>
          <t>Zelle payment to Dennis Chua JPM99cg0qv3q</t>
        </is>
      </c>
      <c r="D951" s="10" t="n">
        <v>-675</v>
      </c>
      <c r="E951" s="9" t="inlineStr">
        <is>
          <t>CHASE_TO_PARTNERFI</t>
        </is>
      </c>
      <c r="F951" s="10" t="n">
        <v>3013.68</v>
      </c>
      <c r="G951" s="9" t="inlineStr">
        <is>
          <t>Others</t>
        </is>
      </c>
      <c r="H951">
        <f>IFERROR(INDEX(Categories!$A$5:$A$93,MATCH(G951,Categories!$B$5:$B$93,0)),"")</f>
        <v/>
      </c>
      <c r="I951" s="9" t="inlineStr">
        <is>
          <t>R</t>
        </is>
      </c>
      <c r="J951" s="9" t="inlineStr">
        <is>
          <t>Zelle sent - please tell me who this person is so I can map them to a category</t>
        </is>
      </c>
    </row>
    <row r="952">
      <c r="A952" s="9" t="inlineStr">
        <is>
          <t>Checking ...0861</t>
        </is>
      </c>
      <c r="B952" s="29" t="n">
        <v>46148</v>
      </c>
      <c r="C952" s="9" t="inlineStr">
        <is>
          <t>Zelle payment to RHIAN ALMO 29112878041</t>
        </is>
      </c>
      <c r="D952" s="10" t="n">
        <v>-11</v>
      </c>
      <c r="E952" s="9" t="inlineStr">
        <is>
          <t>QUICKPAY_DEBIT</t>
        </is>
      </c>
      <c r="F952" s="10" t="n">
        <v>3688.68</v>
      </c>
      <c r="G952" s="9" t="inlineStr">
        <is>
          <t>Others</t>
        </is>
      </c>
      <c r="H952">
        <f>IFERROR(INDEX(Categories!$A$5:$A$93,MATCH(G952,Categories!$B$5:$B$93,0)),"")</f>
        <v/>
      </c>
      <c r="I952" s="9" t="inlineStr">
        <is>
          <t>R</t>
        </is>
      </c>
      <c r="J952" s="9" t="inlineStr">
        <is>
          <t>Zelle sent - please tell me who this person is so I can map them to a category</t>
        </is>
      </c>
    </row>
    <row r="953">
      <c r="A953" s="9" t="inlineStr">
        <is>
          <t>Checking ...0861</t>
        </is>
      </c>
      <c r="B953" s="29" t="n">
        <v>46148</v>
      </c>
      <c r="C953" s="9" t="inlineStr">
        <is>
          <t>AUTOPMT ASPIREMC PAYMENT                    PPD ID: L582336689</t>
        </is>
      </c>
      <c r="D953" s="10" t="n">
        <v>-38.64</v>
      </c>
      <c r="E953" s="9" t="inlineStr">
        <is>
          <t>ACH_DEBIT</t>
        </is>
      </c>
      <c r="F953" s="10" t="n">
        <v>3699.68</v>
      </c>
      <c r="G953" s="9" t="inlineStr">
        <is>
          <t>CC - Aspire</t>
        </is>
      </c>
      <c r="H953">
        <f>IFERROR(INDEX(Categories!$A$5:$A$93,MATCH(G953,Categories!$B$5:$B$93,0)),"")</f>
        <v/>
      </c>
      <c r="I953" s="9" t="inlineStr">
        <is>
          <t>H</t>
        </is>
      </c>
      <c r="J953" s="9" t="inlineStr"/>
    </row>
    <row r="954">
      <c r="A954" s="9" t="inlineStr">
        <is>
          <t>Checking ...0861</t>
        </is>
      </c>
      <c r="B954" s="29" t="n">
        <v>46148</v>
      </c>
      <c r="C954" s="9" t="inlineStr">
        <is>
          <t>MCDONALD'S F2428 SALINAS CA                  05/05</t>
        </is>
      </c>
      <c r="D954" s="10" t="n">
        <v>-37.34</v>
      </c>
      <c r="E954" s="9" t="inlineStr">
        <is>
          <t>DEBIT_CARD</t>
        </is>
      </c>
      <c r="F954" s="10" t="n">
        <v>3738.32</v>
      </c>
      <c r="G954" s="9" t="inlineStr">
        <is>
          <t>Food - Eat Out</t>
        </is>
      </c>
      <c r="H954">
        <f>IFERROR(INDEX(Categories!$A$5:$A$93,MATCH(G954,Categories!$B$5:$B$93,0)),"")</f>
        <v/>
      </c>
      <c r="I954" s="9" t="inlineStr">
        <is>
          <t>D</t>
        </is>
      </c>
      <c r="J954" s="9" t="inlineStr">
        <is>
          <t>Restaurant/fast-food - defaulted to Eat Out; move to Food - Ailynn/Chris/Misc if you know whose order it was</t>
        </is>
      </c>
    </row>
    <row r="955">
      <c r="A955" s="9" t="inlineStr">
        <is>
          <t>Checking ...0861</t>
        </is>
      </c>
      <c r="B955" s="29" t="n">
        <v>46148</v>
      </c>
      <c r="C955" s="9" t="inlineStr">
        <is>
          <t>MCDONALD'S F2428 SALINAS CA                  05/05</t>
        </is>
      </c>
      <c r="D955" s="10" t="n">
        <v>-32.63</v>
      </c>
      <c r="E955" s="9" t="inlineStr">
        <is>
          <t>DEBIT_CARD</t>
        </is>
      </c>
      <c r="F955" s="10" t="n">
        <v>3775.66</v>
      </c>
      <c r="G955" s="9" t="inlineStr">
        <is>
          <t>Food - Eat Out</t>
        </is>
      </c>
      <c r="H955">
        <f>IFERROR(INDEX(Categories!$A$5:$A$93,MATCH(G955,Categories!$B$5:$B$93,0)),"")</f>
        <v/>
      </c>
      <c r="I955" s="9" t="inlineStr">
        <is>
          <t>D</t>
        </is>
      </c>
      <c r="J955" s="9" t="inlineStr">
        <is>
          <t>Restaurant/fast-food - defaulted to Eat Out; move to Food - Ailynn/Chris/Misc if you know whose order it was</t>
        </is>
      </c>
    </row>
    <row r="956">
      <c r="A956" s="9" t="inlineStr">
        <is>
          <t>Checking ...0861</t>
        </is>
      </c>
      <c r="B956" s="29" t="n">
        <v>46148</v>
      </c>
      <c r="C956" s="9" t="inlineStr">
        <is>
          <t>SALINAS LIQUIDATIONS SALINAS CA              05/04</t>
        </is>
      </c>
      <c r="D956" s="10" t="n">
        <v>-22.88</v>
      </c>
      <c r="E956" s="9" t="inlineStr">
        <is>
          <t>DEBIT_CARD</t>
        </is>
      </c>
      <c r="F956" s="10" t="n">
        <v>3808.29</v>
      </c>
      <c r="G956" s="9" t="inlineStr">
        <is>
          <t>Shop - Others</t>
        </is>
      </c>
      <c r="H956">
        <f>IFERROR(INDEX(Categories!$A$5:$A$93,MATCH(G956,Categories!$B$5:$B$93,0)),"")</f>
        <v/>
      </c>
      <c r="I956" s="9" t="inlineStr">
        <is>
          <t>D</t>
        </is>
      </c>
      <c r="J956" s="9" t="inlineStr"/>
    </row>
    <row r="957">
      <c r="A957" s="9" t="inlineStr">
        <is>
          <t>Checking ...0861</t>
        </is>
      </c>
      <c r="B957" s="29" t="n">
        <v>46147</v>
      </c>
      <c r="C957" s="9" t="inlineStr">
        <is>
          <t>Zelle payment to IVORY JANINE MORALES JPM99cfw429i</t>
        </is>
      </c>
      <c r="D957" s="10" t="n">
        <v>-50</v>
      </c>
      <c r="E957" s="9" t="inlineStr">
        <is>
          <t>CHASE_TO_PARTNERFI</t>
        </is>
      </c>
      <c r="F957" s="10" t="n">
        <v>3831.17</v>
      </c>
      <c r="G957" s="9" t="inlineStr">
        <is>
          <t>Others</t>
        </is>
      </c>
      <c r="H957">
        <f>IFERROR(INDEX(Categories!$A$5:$A$93,MATCH(G957,Categories!$B$5:$B$93,0)),"")</f>
        <v/>
      </c>
      <c r="I957" s="9" t="inlineStr">
        <is>
          <t>R</t>
        </is>
      </c>
      <c r="J957" s="9" t="inlineStr">
        <is>
          <t>Zelle sent - please tell me who this person is so I can map them to a category</t>
        </is>
      </c>
    </row>
    <row r="958">
      <c r="A958" s="9" t="inlineStr">
        <is>
          <t>Checking ...0861</t>
        </is>
      </c>
      <c r="B958" s="29" t="n">
        <v>46147</v>
      </c>
      <c r="C958" s="9" t="inlineStr">
        <is>
          <t>OLLO CC          ONLINEPYMT 261240506511285 WEB ID: 9000002835</t>
        </is>
      </c>
      <c r="D958" s="10" t="n">
        <v>-27</v>
      </c>
      <c r="E958" s="9" t="inlineStr">
        <is>
          <t>ACH_DEBIT</t>
        </is>
      </c>
      <c r="F958" s="10" t="n">
        <v>3881.17</v>
      </c>
      <c r="G958" s="9" t="inlineStr">
        <is>
          <t>CC - Ollo</t>
        </is>
      </c>
      <c r="H958">
        <f>IFERROR(INDEX(Categories!$A$5:$A$93,MATCH(G958,Categories!$B$5:$B$93,0)),"")</f>
        <v/>
      </c>
      <c r="I958" s="9" t="inlineStr">
        <is>
          <t>H</t>
        </is>
      </c>
      <c r="J958" s="9" t="inlineStr"/>
    </row>
    <row r="959">
      <c r="A959" s="9" t="inlineStr">
        <is>
          <t>Checking ...0861</t>
        </is>
      </c>
      <c r="B959" s="29" t="n">
        <v>46147</v>
      </c>
      <c r="C959" s="9" t="inlineStr">
        <is>
          <t>CAPITAL ONE AUTO CARPAY     CP0E59AA93D607B WEB ID: 9541719806</t>
        </is>
      </c>
      <c r="D959" s="10" t="n">
        <v>-709.9</v>
      </c>
      <c r="E959" s="9" t="inlineStr">
        <is>
          <t>ACH_DEBIT</t>
        </is>
      </c>
      <c r="F959" s="10" t="n">
        <v>3908.17</v>
      </c>
      <c r="G959" s="9" t="inlineStr">
        <is>
          <t>Car payment</t>
        </is>
      </c>
      <c r="H959">
        <f>IFERROR(INDEX(Categories!$A$5:$A$93,MATCH(G959,Categories!$B$5:$B$93,0)),"")</f>
        <v/>
      </c>
      <c r="I959" s="9" t="inlineStr">
        <is>
          <t>H</t>
        </is>
      </c>
      <c r="J959" s="9" t="inlineStr"/>
    </row>
    <row r="960">
      <c r="A960" s="9" t="inlineStr">
        <is>
          <t>Checking ...0861</t>
        </is>
      </c>
      <c r="B960" s="29" t="n">
        <v>46147</v>
      </c>
      <c r="C960" s="9" t="inlineStr">
        <is>
          <t>AMAZON PRIME*HD0210C Amzn.com/bill WA        05/05</t>
        </is>
      </c>
      <c r="D960" s="10" t="n">
        <v>-16.3</v>
      </c>
      <c r="E960" s="9" t="inlineStr">
        <is>
          <t>DEBIT_CARD</t>
        </is>
      </c>
      <c r="F960" s="10" t="n">
        <v>4618.07</v>
      </c>
      <c r="G960" s="9" t="inlineStr">
        <is>
          <t>Amazon Prime</t>
        </is>
      </c>
      <c r="H960">
        <f>IFERROR(INDEX(Categories!$A$5:$A$93,MATCH(G960,Categories!$B$5:$B$93,0)),"")</f>
        <v/>
      </c>
      <c r="I960" s="9" t="inlineStr">
        <is>
          <t>H</t>
        </is>
      </c>
      <c r="J960" s="9" t="inlineStr"/>
    </row>
    <row r="961">
      <c r="A961" s="9" t="inlineStr">
        <is>
          <t>Checking ...0861</t>
        </is>
      </c>
      <c r="B961" s="29" t="n">
        <v>46147</v>
      </c>
      <c r="C961" s="9" t="inlineStr">
        <is>
          <t>Zelle payment to IVORY JANINE MORALES JPM99cfta4bw</t>
        </is>
      </c>
      <c r="D961" s="10" t="n">
        <v>-2000</v>
      </c>
      <c r="E961" s="9" t="inlineStr">
        <is>
          <t>CHASE_TO_PARTNERFI</t>
        </is>
      </c>
      <c r="F961" s="10" t="n">
        <v>4634.37</v>
      </c>
      <c r="G961" s="9" t="inlineStr">
        <is>
          <t>Others</t>
        </is>
      </c>
      <c r="H961">
        <f>IFERROR(INDEX(Categories!$A$5:$A$93,MATCH(G961,Categories!$B$5:$B$93,0)),"")</f>
        <v/>
      </c>
      <c r="I961" s="9" t="inlineStr">
        <is>
          <t>R</t>
        </is>
      </c>
      <c r="J961" s="9" t="inlineStr">
        <is>
          <t>Zelle sent - please tell me who this person is so I can map them to a category</t>
        </is>
      </c>
    </row>
    <row r="962">
      <c r="A962" s="9" t="inlineStr">
        <is>
          <t>Checking ...0861</t>
        </is>
      </c>
      <c r="B962" s="29" t="n">
        <v>46147</v>
      </c>
      <c r="C962" s="9" t="inlineStr">
        <is>
          <t>Zelle payment from MARIA BRAVO NAV0K5PMR8LK</t>
        </is>
      </c>
      <c r="D962" s="10" t="n">
        <v>40</v>
      </c>
      <c r="E962" s="9" t="inlineStr">
        <is>
          <t>PARTNERFI_TO_CHASE</t>
        </is>
      </c>
      <c r="F962" s="10" t="n">
        <v>6634.37</v>
      </c>
      <c r="G962" s="9" t="inlineStr">
        <is>
          <t>Others - Income</t>
        </is>
      </c>
      <c r="H962">
        <f>IFERROR(INDEX(Categories!$A$5:$A$93,MATCH(G962,Categories!$B$5:$B$93,0)),"")</f>
        <v/>
      </c>
      <c r="I962" s="9" t="inlineStr">
        <is>
          <t>R</t>
        </is>
      </c>
      <c r="J962" s="9" t="inlineStr">
        <is>
          <t>Zelle received - please tell me who this person is so I can map them to a category</t>
        </is>
      </c>
    </row>
    <row r="963">
      <c r="A963" s="9" t="inlineStr">
        <is>
          <t>Checking ...0861</t>
        </is>
      </c>
      <c r="B963" s="29" t="n">
        <v>46147</v>
      </c>
      <c r="C963" s="9" t="inlineStr">
        <is>
          <t>PAYPAL           TRANSFER                   PPD ID: PAYPALSD11</t>
        </is>
      </c>
      <c r="D963" s="10" t="n">
        <v>1828</v>
      </c>
      <c r="E963" s="9" t="inlineStr">
        <is>
          <t>ACH_CREDIT</t>
        </is>
      </c>
      <c r="F963" s="10" t="n">
        <v>6594.37</v>
      </c>
      <c r="G963" s="9" t="inlineStr">
        <is>
          <t>Transfer - PayPal to Checking</t>
        </is>
      </c>
      <c r="H963">
        <f>IFERROR(INDEX(Categories!$A$5:$A$93,MATCH(G963,Categories!$B$5:$B$93,0)),"")</f>
        <v/>
      </c>
      <c r="I963" s="9" t="inlineStr">
        <is>
          <t>H</t>
        </is>
      </c>
      <c r="J963" s="9" t="inlineStr"/>
    </row>
    <row r="964">
      <c r="A964" s="9" t="inlineStr">
        <is>
          <t>Checking ...0861</t>
        </is>
      </c>
      <c r="B964" s="29" t="n">
        <v>46147</v>
      </c>
      <c r="C964" s="9" t="inlineStr">
        <is>
          <t>REMOTE ONLINE DEPOSIT #          1</t>
        </is>
      </c>
      <c r="D964" s="10" t="n">
        <v>11.05</v>
      </c>
      <c r="E964" s="9" t="inlineStr">
        <is>
          <t>CHECK_DEPOSIT</t>
        </is>
      </c>
      <c r="F964" s="10" t="n">
        <v>4766.37</v>
      </c>
      <c r="G964" s="9" t="inlineStr">
        <is>
          <t>Others - Income</t>
        </is>
      </c>
      <c r="H964">
        <f>IFERROR(INDEX(Categories!$A$5:$A$93,MATCH(G964,Categories!$B$5:$B$93,0)),"")</f>
        <v/>
      </c>
      <c r="I964" s="9" t="inlineStr">
        <is>
          <t>R</t>
        </is>
      </c>
      <c r="J964" s="9" t="inlineStr">
        <is>
          <t>Deposit/wire with unclear source</t>
        </is>
      </c>
    </row>
    <row r="965">
      <c r="A965" s="9" t="inlineStr">
        <is>
          <t>Checking ...0861</t>
        </is>
      </c>
      <c r="B965" s="29" t="n">
        <v>46146</v>
      </c>
      <c r="C965" s="9" t="inlineStr">
        <is>
          <t>CHECK 353</t>
        </is>
      </c>
      <c r="D965" s="10" t="n">
        <v>-500</v>
      </c>
      <c r="E965" s="9" t="inlineStr">
        <is>
          <t>CHECK_PAID</t>
        </is>
      </c>
      <c r="F965" s="10" t="n">
        <v>4755.32</v>
      </c>
      <c r="G965" s="9" t="inlineStr">
        <is>
          <t>Others</t>
        </is>
      </c>
      <c r="H965">
        <f>IFERROR(INDEX(Categories!$A$5:$A$93,MATCH(G965,Categories!$B$5:$B$93,0)),"")</f>
        <v/>
      </c>
      <c r="I965" s="9" t="inlineStr">
        <is>
          <t>R</t>
        </is>
      </c>
      <c r="J965" s="9" t="inlineStr">
        <is>
          <t>Paper check - payee not shown on the statement; please tell me who checks were written to</t>
        </is>
      </c>
    </row>
    <row r="966">
      <c r="A966" s="9" t="inlineStr">
        <is>
          <t>Checking ...0861</t>
        </is>
      </c>
      <c r="B966" s="29" t="n">
        <v>46146</v>
      </c>
      <c r="C966" s="9" t="inlineStr">
        <is>
          <t>PAYPAL           TRANSFER   ADD TO BALANCE  WEB ID: PAYPALSD22</t>
        </is>
      </c>
      <c r="D966" s="10" t="n">
        <v>-2000</v>
      </c>
      <c r="E966" s="9" t="inlineStr">
        <is>
          <t>ACH_DEBIT</t>
        </is>
      </c>
      <c r="F966" s="10" t="n">
        <v>5255.32</v>
      </c>
      <c r="G966" s="9" t="inlineStr">
        <is>
          <t>Transfer - Checking to PayPal</t>
        </is>
      </c>
      <c r="H966">
        <f>IFERROR(INDEX(Categories!$A$5:$A$93,MATCH(G966,Categories!$B$5:$B$93,0)),"")</f>
        <v/>
      </c>
      <c r="I966" s="9" t="inlineStr">
        <is>
          <t>H</t>
        </is>
      </c>
      <c r="J966" s="9" t="inlineStr"/>
    </row>
    <row r="967">
      <c r="A967" s="9" t="inlineStr">
        <is>
          <t>Checking ...0861</t>
        </is>
      </c>
      <c r="B967" s="29" t="n">
        <v>46146</v>
      </c>
      <c r="C967" s="9" t="inlineStr">
        <is>
          <t>LACOSTE #478 GILROY 83 GILROY CA             05/04</t>
        </is>
      </c>
      <c r="D967" s="10" t="n">
        <v>-138.84</v>
      </c>
      <c r="E967" s="9" t="inlineStr">
        <is>
          <t>DEBIT_CARD</t>
        </is>
      </c>
      <c r="F967" s="10" t="n">
        <v>7255.32</v>
      </c>
      <c r="G967" s="9" t="inlineStr">
        <is>
          <t>Shop - Others</t>
        </is>
      </c>
      <c r="H967">
        <f>IFERROR(INDEX(Categories!$A$5:$A$93,MATCH(G967,Categories!$B$5:$B$93,0)),"")</f>
        <v/>
      </c>
      <c r="I967" s="9" t="inlineStr">
        <is>
          <t>D</t>
        </is>
      </c>
      <c r="J967" s="9" t="inlineStr"/>
    </row>
    <row r="968">
      <c r="A968" s="9" t="inlineStr">
        <is>
          <t>Checking ...0861</t>
        </is>
      </c>
      <c r="B968" s="29" t="n">
        <v>46146</v>
      </c>
      <c r="C968" s="9" t="inlineStr">
        <is>
          <t>SP+AFF * AOOACALIPERC 855-423-3729 CA        05/04</t>
        </is>
      </c>
      <c r="D968" s="10" t="n">
        <v>-53.55</v>
      </c>
      <c r="E968" s="9" t="inlineStr">
        <is>
          <t>DEBIT_CARD</t>
        </is>
      </c>
      <c r="F968" s="10" t="n">
        <v>7394.16</v>
      </c>
      <c r="G968" s="9" t="inlineStr">
        <is>
          <t>Shop - Others</t>
        </is>
      </c>
      <c r="H968">
        <f>IFERROR(INDEX(Categories!$A$5:$A$93,MATCH(G968,Categories!$B$5:$B$93,0)),"")</f>
        <v/>
      </c>
      <c r="I968" s="9" t="inlineStr">
        <is>
          <t>R</t>
        </is>
      </c>
      <c r="J968" s="9" t="inlineStr">
        <is>
          <t>Small online-shop charge via an affiliate/Affirm-style processor - description doesn't name the actual store</t>
        </is>
      </c>
    </row>
    <row r="969">
      <c r="A969" s="9" t="inlineStr">
        <is>
          <t>Checking ...0861</t>
        </is>
      </c>
      <c r="B969" s="29" t="n">
        <v>46146</v>
      </c>
      <c r="C969" s="9" t="inlineStr">
        <is>
          <t>PREMIER BANKCARD AUTOPAY    G     338557230 WEB ID: 2470535472</t>
        </is>
      </c>
      <c r="D969" s="10" t="n">
        <v>-6.31</v>
      </c>
      <c r="E969" s="9" t="inlineStr">
        <is>
          <t>ACH_DEBIT</t>
        </is>
      </c>
      <c r="F969" s="10" t="n">
        <v>7447.71</v>
      </c>
      <c r="G969" s="9" t="inlineStr">
        <is>
          <t>CC - FPB</t>
        </is>
      </c>
      <c r="H969">
        <f>IFERROR(INDEX(Categories!$A$5:$A$93,MATCH(G969,Categories!$B$5:$B$93,0)),"")</f>
        <v/>
      </c>
      <c r="I969" s="9" t="inlineStr">
        <is>
          <t>H</t>
        </is>
      </c>
      <c r="J969" s="9" t="inlineStr"/>
    </row>
    <row r="970">
      <c r="A970" s="9" t="inlineStr">
        <is>
          <t>Checking ...0861</t>
        </is>
      </c>
      <c r="B970" s="29" t="n">
        <v>46146</v>
      </c>
      <c r="C970" s="9" t="inlineStr">
        <is>
          <t>Amazon.com*BJ7KC0U31 AMZN.COM/BILL WA        05/04</t>
        </is>
      </c>
      <c r="D970" s="10" t="n">
        <v>-46.66</v>
      </c>
      <c r="E970" s="9" t="inlineStr">
        <is>
          <t>DEBIT_CARD</t>
        </is>
      </c>
      <c r="F970" s="10" t="n">
        <v>7454.02</v>
      </c>
      <c r="G970" s="9" t="inlineStr">
        <is>
          <t>Shop - Amazon</t>
        </is>
      </c>
      <c r="H970">
        <f>IFERROR(INDEX(Categories!$A$5:$A$93,MATCH(G970,Categories!$B$5:$B$93,0)),"")</f>
        <v/>
      </c>
      <c r="I970" s="9" t="inlineStr">
        <is>
          <t>H</t>
        </is>
      </c>
      <c r="J970" s="9" t="inlineStr"/>
    </row>
    <row r="971">
      <c r="A971" s="9" t="inlineStr">
        <is>
          <t>Checking ...0861</t>
        </is>
      </c>
      <c r="B971" s="29" t="n">
        <v>46146</v>
      </c>
      <c r="C971" s="9" t="inlineStr">
        <is>
          <t>Online Payment 29077253828 To PACIFIC GAS &amp; ELECTRIC (PG&amp;E) 05/04</t>
        </is>
      </c>
      <c r="D971" s="10" t="n">
        <v>-195.18</v>
      </c>
      <c r="E971" s="9" t="inlineStr">
        <is>
          <t>BILLPAY</t>
        </is>
      </c>
      <c r="F971" s="10" t="n">
        <v>7500.68</v>
      </c>
      <c r="G971" s="9" t="inlineStr">
        <is>
          <t>PGE</t>
        </is>
      </c>
      <c r="H971">
        <f>IFERROR(INDEX(Categories!$A$5:$A$93,MATCH(G971,Categories!$B$5:$B$93,0)),"")</f>
        <v/>
      </c>
      <c r="I971" s="9" t="inlineStr">
        <is>
          <t>H</t>
        </is>
      </c>
      <c r="J971" s="9" t="inlineStr"/>
    </row>
    <row r="972">
      <c r="A972" s="9" t="inlineStr">
        <is>
          <t>Checking ...0861</t>
        </is>
      </c>
      <c r="B972" s="29" t="n">
        <v>46146</v>
      </c>
      <c r="C972" s="9" t="inlineStr">
        <is>
          <t>GIV*FIRST PRESBY 831-4227811 CA              05/03</t>
        </is>
      </c>
      <c r="D972" s="10" t="n">
        <v>-20</v>
      </c>
      <c r="E972" s="9" t="inlineStr">
        <is>
          <t>DEBIT_CARD</t>
        </is>
      </c>
      <c r="F972" s="10" t="n">
        <v>7695.86</v>
      </c>
      <c r="G972" s="9" t="inlineStr">
        <is>
          <t>Others</t>
        </is>
      </c>
      <c r="H972">
        <f>IFERROR(INDEX(Categories!$A$5:$A$93,MATCH(G972,Categories!$B$5:$B$93,0)),"")</f>
        <v/>
      </c>
      <c r="I972" s="9" t="inlineStr">
        <is>
          <t>H</t>
        </is>
      </c>
      <c r="J972" s="9" t="inlineStr">
        <is>
          <t>Recurring $20 church/charitable giving - no matching category in your list, put under Others</t>
        </is>
      </c>
    </row>
    <row r="973">
      <c r="A973" s="9" t="inlineStr">
        <is>
          <t>Checking ...0861</t>
        </is>
      </c>
      <c r="B973" s="29" t="n">
        <v>46146</v>
      </c>
      <c r="C973" s="9" t="inlineStr">
        <is>
          <t>AFFIRM.COM PAYMENTS AFFIRM.COM CA            05/02</t>
        </is>
      </c>
      <c r="D973" s="10" t="n">
        <v>-33.07</v>
      </c>
      <c r="E973" s="9" t="inlineStr">
        <is>
          <t>DEBIT_CARD</t>
        </is>
      </c>
      <c r="F973" s="10" t="n">
        <v>7715.86</v>
      </c>
      <c r="G973" s="9" t="inlineStr">
        <is>
          <t>Affirm</t>
        </is>
      </c>
      <c r="H973">
        <f>IFERROR(INDEX(Categories!$A$5:$A$93,MATCH(G973,Categories!$B$5:$B$93,0)),"")</f>
        <v/>
      </c>
      <c r="I973" s="9" t="inlineStr">
        <is>
          <t>H</t>
        </is>
      </c>
      <c r="J973" s="9" t="inlineStr"/>
    </row>
    <row r="974">
      <c r="A974" s="9" t="inlineStr">
        <is>
          <t>Checking ...0861</t>
        </is>
      </c>
      <c r="B974" s="29" t="n">
        <v>46146</v>
      </c>
      <c r="C974" s="9" t="inlineStr">
        <is>
          <t>STEVE'S FILIPINO ASIAN SALINAS CA    908852  05/02</t>
        </is>
      </c>
      <c r="D974" s="10" t="n">
        <v>-42.79</v>
      </c>
      <c r="E974" s="9" t="inlineStr">
        <is>
          <t>DEBIT_CARD</t>
        </is>
      </c>
      <c r="F974" s="10" t="n">
        <v>7748.93</v>
      </c>
      <c r="G974" s="9" t="inlineStr">
        <is>
          <t>Groceries - Steves</t>
        </is>
      </c>
      <c r="H974">
        <f>IFERROR(INDEX(Categories!$A$5:$A$93,MATCH(G974,Categories!$B$5:$B$93,0)),"")</f>
        <v/>
      </c>
      <c r="I974" s="9" t="inlineStr">
        <is>
          <t>H</t>
        </is>
      </c>
      <c r="J974" s="9" t="inlineStr"/>
    </row>
    <row r="975">
      <c r="A975" s="9" t="inlineStr">
        <is>
          <t>Checking ...0861</t>
        </is>
      </c>
      <c r="B975" s="29" t="n">
        <v>46146</v>
      </c>
      <c r="C975" s="9" t="inlineStr">
        <is>
          <t>WM SUPERCENTER #2458 SALINAS CA              05/02</t>
        </is>
      </c>
      <c r="D975" s="10" t="n">
        <v>-104.03</v>
      </c>
      <c r="E975" s="9" t="inlineStr">
        <is>
          <t>DEBIT_CARD</t>
        </is>
      </c>
      <c r="F975" s="10" t="n">
        <v>7791.72</v>
      </c>
      <c r="G975" s="9" t="inlineStr">
        <is>
          <t>Groceries - Walmart</t>
        </is>
      </c>
      <c r="H975">
        <f>IFERROR(INDEX(Categories!$A$5:$A$93,MATCH(G975,Categories!$B$5:$B$93,0)),"")</f>
        <v/>
      </c>
      <c r="I975" s="9" t="inlineStr">
        <is>
          <t>H</t>
        </is>
      </c>
      <c r="J975" s="9" t="inlineStr"/>
    </row>
    <row r="976">
      <c r="A976" s="9" t="inlineStr">
        <is>
          <t>Checking ...0861</t>
        </is>
      </c>
      <c r="B976" s="29" t="n">
        <v>46146</v>
      </c>
      <c r="C976" s="9" t="inlineStr">
        <is>
          <t>THE UPS STORE 658 831-4435800 CA             05/02</t>
        </is>
      </c>
      <c r="D976" s="10" t="n">
        <v>-31.01</v>
      </c>
      <c r="E976" s="9" t="inlineStr">
        <is>
          <t>DEBIT_CARD</t>
        </is>
      </c>
      <c r="F976" s="10" t="n">
        <v>7895.75</v>
      </c>
      <c r="G976" s="9" t="inlineStr">
        <is>
          <t>Others</t>
        </is>
      </c>
      <c r="H976">
        <f>IFERROR(INDEX(Categories!$A$5:$A$93,MATCH(G976,Categories!$B$5:$B$93,0)),"")</f>
        <v/>
      </c>
      <c r="I976" s="9" t="inlineStr">
        <is>
          <t>D</t>
        </is>
      </c>
      <c r="J976" s="9" t="inlineStr">
        <is>
          <t>Shipping/postal</t>
        </is>
      </c>
    </row>
    <row r="977">
      <c r="A977" s="9" t="inlineStr">
        <is>
          <t>Checking ...0861</t>
        </is>
      </c>
      <c r="B977" s="29" t="n">
        <v>46146</v>
      </c>
      <c r="C977" s="9" t="inlineStr">
        <is>
          <t>SQ *THE MOCHI DONUT SHO Daly City CA         05/01</t>
        </is>
      </c>
      <c r="D977" s="10" t="n">
        <v>-189.58</v>
      </c>
      <c r="E977" s="9" t="inlineStr">
        <is>
          <t>DEBIT_CARD</t>
        </is>
      </c>
      <c r="F977" s="10" t="n">
        <v>7926.76</v>
      </c>
      <c r="G977" s="9" t="inlineStr">
        <is>
          <t>Food - Eat Out</t>
        </is>
      </c>
      <c r="H977">
        <f>IFERROR(INDEX(Categories!$A$5:$A$93,MATCH(G977,Categories!$B$5:$B$93,0)),"")</f>
        <v/>
      </c>
      <c r="I977" s="9" t="inlineStr">
        <is>
          <t>D</t>
        </is>
      </c>
      <c r="J977" s="9" t="inlineStr">
        <is>
          <t>Restaurant/fast-food - defaulted to Eat Out; move to Food - Ailynn/Chris/Misc if you know whose order it was</t>
        </is>
      </c>
    </row>
    <row r="978">
      <c r="A978" s="9" t="inlineStr">
        <is>
          <t>Checking ...0861</t>
        </is>
      </c>
      <c r="B978" s="29" t="n">
        <v>46146</v>
      </c>
      <c r="C978" s="9" t="inlineStr">
        <is>
          <t>SHELL OIL 10010249000 GILROY CA              05/01</t>
        </is>
      </c>
      <c r="D978" s="10" t="n">
        <v>-68.48999999999999</v>
      </c>
      <c r="E978" s="9" t="inlineStr">
        <is>
          <t>DEBIT_CARD</t>
        </is>
      </c>
      <c r="F978" s="10" t="n">
        <v>8116.34</v>
      </c>
      <c r="G978" s="9" t="inlineStr">
        <is>
          <t>Gas</t>
        </is>
      </c>
      <c r="H978">
        <f>IFERROR(INDEX(Categories!$A$5:$A$93,MATCH(G978,Categories!$B$5:$B$93,0)),"")</f>
        <v/>
      </c>
      <c r="I978" s="9" t="inlineStr">
        <is>
          <t>D</t>
        </is>
      </c>
      <c r="J978" s="9" t="inlineStr"/>
    </row>
    <row r="979">
      <c r="A979" s="9" t="inlineStr">
        <is>
          <t>Checking ...0861</t>
        </is>
      </c>
      <c r="B979" s="29" t="n">
        <v>46146</v>
      </c>
      <c r="C979" s="9" t="inlineStr">
        <is>
          <t>STARBUCKS 8007827282 800-782-7282 WA         05/01</t>
        </is>
      </c>
      <c r="D979" s="10" t="n">
        <v>-20</v>
      </c>
      <c r="E979" s="9" t="inlineStr">
        <is>
          <t>DEBIT_CARD</t>
        </is>
      </c>
      <c r="F979" s="10" t="n">
        <v>8184.83</v>
      </c>
      <c r="G979" s="9" t="inlineStr">
        <is>
          <t>Food - Eat Out</t>
        </is>
      </c>
      <c r="H979">
        <f>IFERROR(INDEX(Categories!$A$5:$A$93,MATCH(G979,Categories!$B$5:$B$93,0)),"")</f>
        <v/>
      </c>
      <c r="I979" s="9" t="inlineStr">
        <is>
          <t>D</t>
        </is>
      </c>
      <c r="J979" s="9" t="inlineStr">
        <is>
          <t>Restaurant/fast-food - defaulted to Eat Out; move to Food - Ailynn/Chris/Misc if you know whose order it was</t>
        </is>
      </c>
    </row>
    <row r="980">
      <c r="A980" s="9" t="inlineStr">
        <is>
          <t>Checking ...0861</t>
        </is>
      </c>
      <c r="B980" s="29" t="n">
        <v>46146</v>
      </c>
      <c r="C980" s="9" t="inlineStr">
        <is>
          <t>Primo Water Corporatio Vista CA              05/01</t>
        </is>
      </c>
      <c r="D980" s="10" t="n">
        <v>-3.1</v>
      </c>
      <c r="E980" s="9" t="inlineStr">
        <is>
          <t>DEBIT_CARD</t>
        </is>
      </c>
      <c r="F980" s="10" t="n">
        <v>8204.83</v>
      </c>
      <c r="G980" s="9" t="inlineStr">
        <is>
          <t>Water</t>
        </is>
      </c>
      <c r="H980">
        <f>IFERROR(INDEX(Categories!$A$5:$A$93,MATCH(G980,Categories!$B$5:$B$93,0)),"")</f>
        <v/>
      </c>
      <c r="I980" s="9" t="inlineStr">
        <is>
          <t>H</t>
        </is>
      </c>
      <c r="J980" s="9" t="inlineStr"/>
    </row>
    <row r="981">
      <c r="A981" s="9" t="inlineStr">
        <is>
          <t>Checking ...0861</t>
        </is>
      </c>
      <c r="B981" s="29" t="n">
        <v>46146</v>
      </c>
      <c r="C981" s="9" t="inlineStr">
        <is>
          <t>Primo Water Corporatio Vista CA              05/01</t>
        </is>
      </c>
      <c r="D981" s="10" t="n">
        <v>-3.1</v>
      </c>
      <c r="E981" s="9" t="inlineStr">
        <is>
          <t>DEBIT_CARD</t>
        </is>
      </c>
      <c r="F981" s="10" t="n">
        <v>8207.93</v>
      </c>
      <c r="G981" s="9" t="inlineStr">
        <is>
          <t>Water</t>
        </is>
      </c>
      <c r="H981">
        <f>IFERROR(INDEX(Categories!$A$5:$A$93,MATCH(G981,Categories!$B$5:$B$93,0)),"")</f>
        <v/>
      </c>
      <c r="I981" s="9" t="inlineStr">
        <is>
          <t>H</t>
        </is>
      </c>
      <c r="J981" s="9" t="inlineStr"/>
    </row>
    <row r="982">
      <c r="A982" s="9" t="inlineStr">
        <is>
          <t>Checking ...0861</t>
        </is>
      </c>
      <c r="B982" s="29" t="n">
        <v>46146</v>
      </c>
      <c r="C982" s="9" t="inlineStr">
        <is>
          <t>Zelle payment from MARIA BRAVO NAV0K5NKOSBR</t>
        </is>
      </c>
      <c r="D982" s="10" t="n">
        <v>2000</v>
      </c>
      <c r="E982" s="9" t="inlineStr">
        <is>
          <t>PARTNERFI_TO_CHASE</t>
        </is>
      </c>
      <c r="F982" s="10" t="n">
        <v>8211.030000000001</v>
      </c>
      <c r="G982" s="9" t="inlineStr">
        <is>
          <t>Others - Income</t>
        </is>
      </c>
      <c r="H982">
        <f>IFERROR(INDEX(Categories!$A$5:$A$93,MATCH(G982,Categories!$B$5:$B$93,0)),"")</f>
        <v/>
      </c>
      <c r="I982" s="9" t="inlineStr">
        <is>
          <t>R</t>
        </is>
      </c>
      <c r="J982" s="9" t="inlineStr">
        <is>
          <t>Zelle received - please tell me who this person is so I can map them to a category</t>
        </is>
      </c>
    </row>
    <row r="983">
      <c r="A983" s="9" t="inlineStr">
        <is>
          <t>Checking ...0861</t>
        </is>
      </c>
      <c r="B983" s="29" t="n">
        <v>46146</v>
      </c>
      <c r="C983" s="9" t="inlineStr">
        <is>
          <t>EBAY COMMERCE INC. SAN JOSE CA               04/10</t>
        </is>
      </c>
      <c r="D983" s="10" t="n">
        <v>81.39</v>
      </c>
      <c r="E983" s="9" t="inlineStr">
        <is>
          <t>DEBIT_CARD</t>
        </is>
      </c>
      <c r="F983" s="10" t="n">
        <v>6211.03</v>
      </c>
      <c r="G983" s="9" t="inlineStr">
        <is>
          <t>Shop - Others</t>
        </is>
      </c>
      <c r="H983">
        <f>IFERROR(INDEX(Categories!$A$5:$A$93,MATCH(G983,Categories!$B$5:$B$93,0)),"")</f>
        <v/>
      </c>
      <c r="I983" s="9" t="inlineStr">
        <is>
          <t>D</t>
        </is>
      </c>
      <c r="J983" s="9" t="inlineStr"/>
    </row>
    <row r="984">
      <c r="A984" s="9" t="inlineStr">
        <is>
          <t>Checking ...0861</t>
        </is>
      </c>
      <c r="B984" s="29" t="n">
        <v>46143</v>
      </c>
      <c r="C984" s="9" t="inlineStr">
        <is>
          <t>PAYPAL           PURCHASE   TIKTOK SHOP     WEB ID: PAYPALSI77</t>
        </is>
      </c>
      <c r="D984" s="10" t="n">
        <v>-19.8</v>
      </c>
      <c r="E984" s="9" t="inlineStr">
        <is>
          <t>ACH_DEBIT</t>
        </is>
      </c>
      <c r="F984" s="10" t="n">
        <v>6129.64</v>
      </c>
      <c r="G984" s="9" t="inlineStr">
        <is>
          <t>paypal tiktok</t>
        </is>
      </c>
      <c r="H984">
        <f>IFERROR(INDEX(Categories!$A$5:$A$93,MATCH(G984,Categories!$B$5:$B$93,0)),"")</f>
        <v/>
      </c>
      <c r="I984" s="9" t="inlineStr">
        <is>
          <t>H</t>
        </is>
      </c>
      <c r="J984" s="9" t="inlineStr"/>
    </row>
    <row r="985">
      <c r="A985" s="9" t="inlineStr">
        <is>
          <t>Checking ...0861</t>
        </is>
      </c>
      <c r="B985" s="29" t="n">
        <v>46143</v>
      </c>
      <c r="C985" s="9" t="inlineStr">
        <is>
          <t>PAYPAL           TRANSFER   ADD TO BALANCE  WEB ID: PAYPALSD22</t>
        </is>
      </c>
      <c r="D985" s="10" t="n">
        <v>-50</v>
      </c>
      <c r="E985" s="9" t="inlineStr">
        <is>
          <t>ACH_DEBIT</t>
        </is>
      </c>
      <c r="F985" s="10" t="n">
        <v>6149.44</v>
      </c>
      <c r="G985" s="9" t="inlineStr">
        <is>
          <t>Transfer - Checking to PayPal</t>
        </is>
      </c>
      <c r="H985">
        <f>IFERROR(INDEX(Categories!$A$5:$A$93,MATCH(G985,Categories!$B$5:$B$93,0)),"")</f>
        <v/>
      </c>
      <c r="I985" s="9" t="inlineStr">
        <is>
          <t>H</t>
        </is>
      </c>
      <c r="J985" s="9" t="inlineStr"/>
    </row>
    <row r="986">
      <c r="A986" s="9" t="inlineStr">
        <is>
          <t>Checking ...0861</t>
        </is>
      </c>
      <c r="B986" s="29" t="n">
        <v>46143</v>
      </c>
      <c r="C986" s="9" t="inlineStr">
        <is>
          <t>PAYPAL           PURCHASE   TIKTOK SHOP     WEB ID: PAYPALSI77</t>
        </is>
      </c>
      <c r="D986" s="10" t="n">
        <v>-21.96</v>
      </c>
      <c r="E986" s="9" t="inlineStr">
        <is>
          <t>ACH_DEBIT</t>
        </is>
      </c>
      <c r="F986" s="10" t="n">
        <v>6199.44</v>
      </c>
      <c r="G986" s="9" t="inlineStr">
        <is>
          <t>paypal tiktok</t>
        </is>
      </c>
      <c r="H986">
        <f>IFERROR(INDEX(Categories!$A$5:$A$93,MATCH(G986,Categories!$B$5:$B$93,0)),"")</f>
        <v/>
      </c>
      <c r="I986" s="9" t="inlineStr">
        <is>
          <t>H</t>
        </is>
      </c>
      <c r="J986" s="9" t="inlineStr"/>
    </row>
    <row r="987">
      <c r="A987" s="9" t="inlineStr">
        <is>
          <t>Checking ...0861</t>
        </is>
      </c>
      <c r="B987" s="29" t="n">
        <v>46143</v>
      </c>
      <c r="C987" s="9" t="inlineStr">
        <is>
          <t>PAYPAL           PURCHASE   TIKTOK SHOP     WEB ID: PAYPALSI77</t>
        </is>
      </c>
      <c r="D987" s="10" t="n">
        <v>-31.03</v>
      </c>
      <c r="E987" s="9" t="inlineStr">
        <is>
          <t>ACH_DEBIT</t>
        </is>
      </c>
      <c r="F987" s="10" t="n">
        <v>6221.4</v>
      </c>
      <c r="G987" s="9" t="inlineStr">
        <is>
          <t>paypal tiktok</t>
        </is>
      </c>
      <c r="H987">
        <f>IFERROR(INDEX(Categories!$A$5:$A$93,MATCH(G987,Categories!$B$5:$B$93,0)),"")</f>
        <v/>
      </c>
      <c r="I987" s="9" t="inlineStr">
        <is>
          <t>H</t>
        </is>
      </c>
      <c r="J987" s="9" t="inlineStr"/>
    </row>
    <row r="988">
      <c r="A988" s="9" t="inlineStr">
        <is>
          <t>Checking ...0861</t>
        </is>
      </c>
      <c r="B988" s="29" t="n">
        <v>46143</v>
      </c>
      <c r="C988" s="9" t="inlineStr">
        <is>
          <t>Online Transfer to  SAV ...5953 transaction#: 28947894321</t>
        </is>
      </c>
      <c r="D988" s="10" t="n">
        <v>-25</v>
      </c>
      <c r="E988" s="9" t="inlineStr">
        <is>
          <t>ACCT_XFER</t>
        </is>
      </c>
      <c r="F988" s="10" t="n">
        <v>6252.43</v>
      </c>
      <c r="G988" s="9" t="inlineStr">
        <is>
          <t>Transfer - Checking to Savings</t>
        </is>
      </c>
      <c r="H988">
        <f>IFERROR(INDEX(Categories!$A$5:$A$93,MATCH(G988,Categories!$B$5:$B$93,0)),"")</f>
        <v/>
      </c>
      <c r="I988" s="9" t="inlineStr">
        <is>
          <t>H</t>
        </is>
      </c>
      <c r="J988" s="9" t="inlineStr"/>
    </row>
    <row r="989">
      <c r="A989" s="9" t="inlineStr">
        <is>
          <t>Checking ...0861</t>
        </is>
      </c>
      <c r="B989" s="29" t="n">
        <v>46143</v>
      </c>
      <c r="C989" s="9" t="inlineStr">
        <is>
          <t>AMAZON MARKETPLA INTERNET   043000091828766 WEB ID: 9049016352</t>
        </is>
      </c>
      <c r="D989" s="10" t="n">
        <v>-15.49</v>
      </c>
      <c r="E989" s="9" t="inlineStr">
        <is>
          <t>ACH_DEBIT</t>
        </is>
      </c>
      <c r="F989" s="10" t="n">
        <v>6277.43</v>
      </c>
      <c r="G989" s="9" t="inlineStr">
        <is>
          <t>Shop - Amazon</t>
        </is>
      </c>
      <c r="H989">
        <f>IFERROR(INDEX(Categories!$A$5:$A$93,MATCH(G989,Categories!$B$5:$B$93,0)),"")</f>
        <v/>
      </c>
      <c r="I989" s="9" t="inlineStr">
        <is>
          <t>H</t>
        </is>
      </c>
      <c r="J989" s="9" t="inlineStr"/>
    </row>
    <row r="990">
      <c r="A990" s="9" t="inlineStr">
        <is>
          <t>Checking ...0861</t>
        </is>
      </c>
      <c r="B990" s="29" t="n">
        <v>46143</v>
      </c>
      <c r="C990" s="9" t="inlineStr">
        <is>
          <t>THE UPS STORE 7054 831-7899400 CA            04/30</t>
        </is>
      </c>
      <c r="D990" s="10" t="n">
        <v>-29.91</v>
      </c>
      <c r="E990" s="9" t="inlineStr">
        <is>
          <t>DEBIT_CARD</t>
        </is>
      </c>
      <c r="F990" s="10" t="n">
        <v>6292.92</v>
      </c>
      <c r="G990" s="9" t="inlineStr">
        <is>
          <t>Others</t>
        </is>
      </c>
      <c r="H990">
        <f>IFERROR(INDEX(Categories!$A$5:$A$93,MATCH(G990,Categories!$B$5:$B$93,0)),"")</f>
        <v/>
      </c>
      <c r="I990" s="9" t="inlineStr">
        <is>
          <t>D</t>
        </is>
      </c>
      <c r="J990" s="9" t="inlineStr">
        <is>
          <t>Shipping/postal</t>
        </is>
      </c>
    </row>
    <row r="991">
      <c r="A991" s="9" t="inlineStr">
        <is>
          <t>Checking ...0861</t>
        </is>
      </c>
      <c r="B991" s="29" t="n">
        <v>46143</v>
      </c>
      <c r="C991" s="9" t="inlineStr">
        <is>
          <t>TEAMSTERS        PAYMENTS                   PPD ID: 3046100016</t>
        </is>
      </c>
      <c r="D991" s="10" t="n">
        <v>4279.18</v>
      </c>
      <c r="E991" s="9" t="inlineStr">
        <is>
          <t>ACH_CREDIT</t>
        </is>
      </c>
      <c r="F991" s="10" t="n">
        <v>6322.83</v>
      </c>
      <c r="G991" s="9" t="inlineStr">
        <is>
          <t>Chris - Pension</t>
        </is>
      </c>
      <c r="H991">
        <f>IFERROR(INDEX(Categories!$A$5:$A$93,MATCH(G991,Categories!$B$5:$B$93,0)),"")</f>
        <v/>
      </c>
      <c r="I991" s="9" t="inlineStr">
        <is>
          <t>R</t>
        </is>
      </c>
      <c r="J991" s="9" t="inlineStr">
        <is>
          <t>Recurring ~$4,275 credit - assumed this is Chris' Teamsters pension, please confirm</t>
        </is>
      </c>
    </row>
  </sheetData>
  <autoFilter ref="A4:J991"/>
  <conditionalFormatting sqref="I5:I991">
    <cfRule type="cellIs" priority="1" operator="equal" dxfId="0">
      <formula>"R"</formula>
    </cfRule>
    <cfRule type="cellIs" priority="2" operator="equal" dxfId="1">
      <formula>"D"</formula>
    </cfRule>
    <cfRule type="cellIs" priority="3" operator="equal" dxfId="2">
      <formula>"H"</formula>
    </cfRule>
  </conditionalFormatting>
  <dataValidations count="1">
    <dataValidation sqref="G5:G991" showDropDown="0" showInputMessage="0" showErrorMessage="1" allowBlank="1" error="Pick a category from the dropdown (see the Categories tab for the full list)." type="list">
      <formula1>Categories!$B$5:$B$93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12" customWidth="1" min="4" max="4"/>
    <col width="16" customWidth="1" min="5" max="5"/>
    <col width="13" customWidth="1" min="6" max="6"/>
    <col width="24" customWidth="1" min="7" max="7"/>
    <col width="14" customWidth="1" min="8" max="8"/>
    <col width="11" customWidth="1" min="9" max="9"/>
    <col width="55" customWidth="1" min="10" max="10"/>
  </cols>
  <sheetData>
    <row r="1">
      <c r="A1" s="1" t="inlineStr">
        <is>
          <t>Savings Transactions</t>
        </is>
      </c>
    </row>
    <row r="2">
      <c r="A2" s="2" t="inlineStr">
        <is>
          <t>Template, ready for your next Savings statement or export - paste rows in starting at row 5, columns A-F (Account, Date, Description, Amount, Type, source Balance). Then set Category in column G.</t>
        </is>
      </c>
    </row>
    <row r="4">
      <c r="A4" s="4" t="inlineStr">
        <is>
          <t>Account</t>
        </is>
      </c>
      <c r="B4" s="4" t="inlineStr">
        <is>
          <t>Date</t>
        </is>
      </c>
      <c r="C4" s="4" t="inlineStr">
        <is>
          <t>Description</t>
        </is>
      </c>
      <c r="D4" s="4" t="inlineStr">
        <is>
          <t>Amount</t>
        </is>
      </c>
      <c r="E4" s="4" t="inlineStr">
        <is>
          <t>Type</t>
        </is>
      </c>
      <c r="F4" s="4" t="inlineStr">
        <is>
          <t>Source Balance</t>
        </is>
      </c>
      <c r="G4" s="4" t="inlineStr">
        <is>
          <t>Category</t>
        </is>
      </c>
      <c r="H4" s="4" t="inlineStr">
        <is>
          <t>Group</t>
        </is>
      </c>
      <c r="I4" s="4" t="inlineStr">
        <is>
          <t>Confidence</t>
        </is>
      </c>
      <c r="J4" s="4" t="inlineStr">
        <is>
          <t>Note</t>
        </is>
      </c>
    </row>
    <row r="5">
      <c r="H5">
        <f>IFERROR(INDEX(Categories!$A$5:$A$93,MATCH(G5,Categories!$B$5:$B$93,0)),"")</f>
        <v/>
      </c>
    </row>
    <row r="6">
      <c r="H6">
        <f>IFERROR(INDEX(Categories!$A$5:$A$93,MATCH(G6,Categories!$B$5:$B$93,0)),"")</f>
        <v/>
      </c>
    </row>
    <row r="7">
      <c r="H7">
        <f>IFERROR(INDEX(Categories!$A$5:$A$93,MATCH(G7,Categories!$B$5:$B$93,0)),"")</f>
        <v/>
      </c>
    </row>
    <row r="8">
      <c r="H8">
        <f>IFERROR(INDEX(Categories!$A$5:$A$93,MATCH(G8,Categories!$B$5:$B$93,0)),"")</f>
        <v/>
      </c>
    </row>
    <row r="9">
      <c r="H9">
        <f>IFERROR(INDEX(Categories!$A$5:$A$93,MATCH(G9,Categories!$B$5:$B$93,0)),"")</f>
        <v/>
      </c>
    </row>
    <row r="10">
      <c r="H10">
        <f>IFERROR(INDEX(Categories!$A$5:$A$93,MATCH(G10,Categories!$B$5:$B$93,0)),"")</f>
        <v/>
      </c>
    </row>
    <row r="11">
      <c r="H11">
        <f>IFERROR(INDEX(Categories!$A$5:$A$93,MATCH(G11,Categories!$B$5:$B$93,0)),"")</f>
        <v/>
      </c>
    </row>
    <row r="12">
      <c r="H12">
        <f>IFERROR(INDEX(Categories!$A$5:$A$93,MATCH(G12,Categories!$B$5:$B$93,0)),"")</f>
        <v/>
      </c>
    </row>
    <row r="13">
      <c r="H13">
        <f>IFERROR(INDEX(Categories!$A$5:$A$93,MATCH(G13,Categories!$B$5:$B$93,0)),"")</f>
        <v/>
      </c>
    </row>
    <row r="14">
      <c r="H14">
        <f>IFERROR(INDEX(Categories!$A$5:$A$93,MATCH(G14,Categories!$B$5:$B$93,0)),"")</f>
        <v/>
      </c>
    </row>
    <row r="15">
      <c r="H15">
        <f>IFERROR(INDEX(Categories!$A$5:$A$93,MATCH(G15,Categories!$B$5:$B$93,0)),"")</f>
        <v/>
      </c>
    </row>
    <row r="16">
      <c r="H16">
        <f>IFERROR(INDEX(Categories!$A$5:$A$93,MATCH(G16,Categories!$B$5:$B$93,0)),"")</f>
        <v/>
      </c>
    </row>
    <row r="17">
      <c r="H17">
        <f>IFERROR(INDEX(Categories!$A$5:$A$93,MATCH(G17,Categories!$B$5:$B$93,0)),"")</f>
        <v/>
      </c>
    </row>
    <row r="18">
      <c r="H18">
        <f>IFERROR(INDEX(Categories!$A$5:$A$93,MATCH(G18,Categories!$B$5:$B$93,0)),"")</f>
        <v/>
      </c>
    </row>
    <row r="19">
      <c r="H19">
        <f>IFERROR(INDEX(Categories!$A$5:$A$93,MATCH(G19,Categories!$B$5:$B$93,0)),"")</f>
        <v/>
      </c>
    </row>
    <row r="20">
      <c r="H20">
        <f>IFERROR(INDEX(Categories!$A$5:$A$93,MATCH(G20,Categories!$B$5:$B$93,0)),"")</f>
        <v/>
      </c>
    </row>
    <row r="21">
      <c r="H21">
        <f>IFERROR(INDEX(Categories!$A$5:$A$93,MATCH(G21,Categories!$B$5:$B$93,0)),"")</f>
        <v/>
      </c>
    </row>
    <row r="22">
      <c r="H22">
        <f>IFERROR(INDEX(Categories!$A$5:$A$93,MATCH(G22,Categories!$B$5:$B$93,0)),"")</f>
        <v/>
      </c>
    </row>
    <row r="23">
      <c r="H23">
        <f>IFERROR(INDEX(Categories!$A$5:$A$93,MATCH(G23,Categories!$B$5:$B$93,0)),"")</f>
        <v/>
      </c>
    </row>
    <row r="24">
      <c r="H24">
        <f>IFERROR(INDEX(Categories!$A$5:$A$93,MATCH(G24,Categories!$B$5:$B$93,0)),"")</f>
        <v/>
      </c>
    </row>
    <row r="25">
      <c r="H25">
        <f>IFERROR(INDEX(Categories!$A$5:$A$93,MATCH(G25,Categories!$B$5:$B$93,0)),"")</f>
        <v/>
      </c>
    </row>
    <row r="26">
      <c r="H26">
        <f>IFERROR(INDEX(Categories!$A$5:$A$93,MATCH(G26,Categories!$B$5:$B$93,0)),"")</f>
        <v/>
      </c>
    </row>
    <row r="27">
      <c r="H27">
        <f>IFERROR(INDEX(Categories!$A$5:$A$93,MATCH(G27,Categories!$B$5:$B$93,0)),"")</f>
        <v/>
      </c>
    </row>
    <row r="28">
      <c r="H28">
        <f>IFERROR(INDEX(Categories!$A$5:$A$93,MATCH(G28,Categories!$B$5:$B$93,0)),"")</f>
        <v/>
      </c>
    </row>
    <row r="29">
      <c r="H29">
        <f>IFERROR(INDEX(Categories!$A$5:$A$93,MATCH(G29,Categories!$B$5:$B$93,0)),"")</f>
        <v/>
      </c>
    </row>
    <row r="30">
      <c r="H30">
        <f>IFERROR(INDEX(Categories!$A$5:$A$93,MATCH(G30,Categories!$B$5:$B$93,0)),"")</f>
        <v/>
      </c>
    </row>
    <row r="31">
      <c r="H31">
        <f>IFERROR(INDEX(Categories!$A$5:$A$93,MATCH(G31,Categories!$B$5:$B$93,0)),"")</f>
        <v/>
      </c>
    </row>
    <row r="32">
      <c r="H32">
        <f>IFERROR(INDEX(Categories!$A$5:$A$93,MATCH(G32,Categories!$B$5:$B$93,0)),"")</f>
        <v/>
      </c>
    </row>
    <row r="33">
      <c r="H33">
        <f>IFERROR(INDEX(Categories!$A$5:$A$93,MATCH(G33,Categories!$B$5:$B$93,0)),"")</f>
        <v/>
      </c>
    </row>
    <row r="34">
      <c r="H34">
        <f>IFERROR(INDEX(Categories!$A$5:$A$93,MATCH(G34,Categories!$B$5:$B$93,0)),"")</f>
        <v/>
      </c>
    </row>
    <row r="35">
      <c r="H35">
        <f>IFERROR(INDEX(Categories!$A$5:$A$93,MATCH(G35,Categories!$B$5:$B$93,0)),"")</f>
        <v/>
      </c>
    </row>
    <row r="36">
      <c r="H36">
        <f>IFERROR(INDEX(Categories!$A$5:$A$93,MATCH(G36,Categories!$B$5:$B$93,0)),"")</f>
        <v/>
      </c>
    </row>
    <row r="37">
      <c r="H37">
        <f>IFERROR(INDEX(Categories!$A$5:$A$93,MATCH(G37,Categories!$B$5:$B$93,0)),"")</f>
        <v/>
      </c>
    </row>
    <row r="38">
      <c r="H38">
        <f>IFERROR(INDEX(Categories!$A$5:$A$93,MATCH(G38,Categories!$B$5:$B$93,0)),"")</f>
        <v/>
      </c>
    </row>
    <row r="39">
      <c r="H39">
        <f>IFERROR(INDEX(Categories!$A$5:$A$93,MATCH(G39,Categories!$B$5:$B$93,0)),"")</f>
        <v/>
      </c>
    </row>
    <row r="40">
      <c r="H40">
        <f>IFERROR(INDEX(Categories!$A$5:$A$93,MATCH(G40,Categories!$B$5:$B$93,0)),"")</f>
        <v/>
      </c>
    </row>
    <row r="41">
      <c r="H41">
        <f>IFERROR(INDEX(Categories!$A$5:$A$93,MATCH(G41,Categories!$B$5:$B$93,0)),"")</f>
        <v/>
      </c>
    </row>
    <row r="42">
      <c r="H42">
        <f>IFERROR(INDEX(Categories!$A$5:$A$93,MATCH(G42,Categories!$B$5:$B$93,0)),"")</f>
        <v/>
      </c>
    </row>
    <row r="43">
      <c r="H43">
        <f>IFERROR(INDEX(Categories!$A$5:$A$93,MATCH(G43,Categories!$B$5:$B$93,0)),"")</f>
        <v/>
      </c>
    </row>
    <row r="44">
      <c r="H44">
        <f>IFERROR(INDEX(Categories!$A$5:$A$93,MATCH(G44,Categories!$B$5:$B$93,0)),"")</f>
        <v/>
      </c>
    </row>
    <row r="45">
      <c r="H45">
        <f>IFERROR(INDEX(Categories!$A$5:$A$93,MATCH(G45,Categories!$B$5:$B$93,0)),"")</f>
        <v/>
      </c>
    </row>
    <row r="46">
      <c r="H46">
        <f>IFERROR(INDEX(Categories!$A$5:$A$93,MATCH(G46,Categories!$B$5:$B$93,0)),"")</f>
        <v/>
      </c>
    </row>
    <row r="47">
      <c r="H47">
        <f>IFERROR(INDEX(Categories!$A$5:$A$93,MATCH(G47,Categories!$B$5:$B$93,0)),"")</f>
        <v/>
      </c>
    </row>
    <row r="48">
      <c r="H48">
        <f>IFERROR(INDEX(Categories!$A$5:$A$93,MATCH(G48,Categories!$B$5:$B$93,0)),"")</f>
        <v/>
      </c>
    </row>
    <row r="49">
      <c r="H49">
        <f>IFERROR(INDEX(Categories!$A$5:$A$93,MATCH(G49,Categories!$B$5:$B$93,0)),"")</f>
        <v/>
      </c>
    </row>
    <row r="50">
      <c r="H50">
        <f>IFERROR(INDEX(Categories!$A$5:$A$93,MATCH(G50,Categories!$B$5:$B$93,0)),"")</f>
        <v/>
      </c>
    </row>
    <row r="51">
      <c r="H51">
        <f>IFERROR(INDEX(Categories!$A$5:$A$93,MATCH(G51,Categories!$B$5:$B$93,0)),"")</f>
        <v/>
      </c>
    </row>
    <row r="52">
      <c r="H52">
        <f>IFERROR(INDEX(Categories!$A$5:$A$93,MATCH(G52,Categories!$B$5:$B$93,0)),"")</f>
        <v/>
      </c>
    </row>
    <row r="53">
      <c r="H53">
        <f>IFERROR(INDEX(Categories!$A$5:$A$93,MATCH(G53,Categories!$B$5:$B$93,0)),"")</f>
        <v/>
      </c>
    </row>
    <row r="54">
      <c r="H54">
        <f>IFERROR(INDEX(Categories!$A$5:$A$93,MATCH(G54,Categories!$B$5:$B$93,0)),"")</f>
        <v/>
      </c>
    </row>
    <row r="55">
      <c r="H55">
        <f>IFERROR(INDEX(Categories!$A$5:$A$93,MATCH(G55,Categories!$B$5:$B$93,0)),"")</f>
        <v/>
      </c>
    </row>
    <row r="56">
      <c r="H56">
        <f>IFERROR(INDEX(Categories!$A$5:$A$93,MATCH(G56,Categories!$B$5:$B$93,0)),"")</f>
        <v/>
      </c>
    </row>
    <row r="57">
      <c r="H57">
        <f>IFERROR(INDEX(Categories!$A$5:$A$93,MATCH(G57,Categories!$B$5:$B$93,0)),"")</f>
        <v/>
      </c>
    </row>
    <row r="58">
      <c r="H58">
        <f>IFERROR(INDEX(Categories!$A$5:$A$93,MATCH(G58,Categories!$B$5:$B$93,0)),"")</f>
        <v/>
      </c>
    </row>
    <row r="59">
      <c r="H59">
        <f>IFERROR(INDEX(Categories!$A$5:$A$93,MATCH(G59,Categories!$B$5:$B$93,0)),"")</f>
        <v/>
      </c>
    </row>
    <row r="60">
      <c r="H60">
        <f>IFERROR(INDEX(Categories!$A$5:$A$93,MATCH(G60,Categories!$B$5:$B$93,0)),"")</f>
        <v/>
      </c>
    </row>
    <row r="61">
      <c r="H61">
        <f>IFERROR(INDEX(Categories!$A$5:$A$93,MATCH(G61,Categories!$B$5:$B$93,0)),"")</f>
        <v/>
      </c>
    </row>
    <row r="62">
      <c r="H62">
        <f>IFERROR(INDEX(Categories!$A$5:$A$93,MATCH(G62,Categories!$B$5:$B$93,0)),"")</f>
        <v/>
      </c>
    </row>
    <row r="63">
      <c r="H63">
        <f>IFERROR(INDEX(Categories!$A$5:$A$93,MATCH(G63,Categories!$B$5:$B$93,0)),"")</f>
        <v/>
      </c>
    </row>
    <row r="64">
      <c r="H64">
        <f>IFERROR(INDEX(Categories!$A$5:$A$93,MATCH(G64,Categories!$B$5:$B$93,0)),"")</f>
        <v/>
      </c>
    </row>
    <row r="65">
      <c r="H65">
        <f>IFERROR(INDEX(Categories!$A$5:$A$93,MATCH(G65,Categories!$B$5:$B$93,0)),"")</f>
        <v/>
      </c>
    </row>
    <row r="66">
      <c r="H66">
        <f>IFERROR(INDEX(Categories!$A$5:$A$93,MATCH(G66,Categories!$B$5:$B$93,0)),"")</f>
        <v/>
      </c>
    </row>
    <row r="67">
      <c r="H67">
        <f>IFERROR(INDEX(Categories!$A$5:$A$93,MATCH(G67,Categories!$B$5:$B$93,0)),"")</f>
        <v/>
      </c>
    </row>
    <row r="68">
      <c r="H68">
        <f>IFERROR(INDEX(Categories!$A$5:$A$93,MATCH(G68,Categories!$B$5:$B$93,0)),"")</f>
        <v/>
      </c>
    </row>
    <row r="69">
      <c r="H69">
        <f>IFERROR(INDEX(Categories!$A$5:$A$93,MATCH(G69,Categories!$B$5:$B$93,0)),"")</f>
        <v/>
      </c>
    </row>
    <row r="70">
      <c r="H70">
        <f>IFERROR(INDEX(Categories!$A$5:$A$93,MATCH(G70,Categories!$B$5:$B$93,0)),"")</f>
        <v/>
      </c>
    </row>
    <row r="71">
      <c r="H71">
        <f>IFERROR(INDEX(Categories!$A$5:$A$93,MATCH(G71,Categories!$B$5:$B$93,0)),"")</f>
        <v/>
      </c>
    </row>
    <row r="72">
      <c r="H72">
        <f>IFERROR(INDEX(Categories!$A$5:$A$93,MATCH(G72,Categories!$B$5:$B$93,0)),"")</f>
        <v/>
      </c>
    </row>
    <row r="73">
      <c r="H73">
        <f>IFERROR(INDEX(Categories!$A$5:$A$93,MATCH(G73,Categories!$B$5:$B$93,0)),"")</f>
        <v/>
      </c>
    </row>
    <row r="74">
      <c r="H74">
        <f>IFERROR(INDEX(Categories!$A$5:$A$93,MATCH(G74,Categories!$B$5:$B$93,0)),"")</f>
        <v/>
      </c>
    </row>
    <row r="75">
      <c r="H75">
        <f>IFERROR(INDEX(Categories!$A$5:$A$93,MATCH(G75,Categories!$B$5:$B$93,0)),"")</f>
        <v/>
      </c>
    </row>
    <row r="76">
      <c r="H76">
        <f>IFERROR(INDEX(Categories!$A$5:$A$93,MATCH(G76,Categories!$B$5:$B$93,0)),"")</f>
        <v/>
      </c>
    </row>
    <row r="77">
      <c r="H77">
        <f>IFERROR(INDEX(Categories!$A$5:$A$93,MATCH(G77,Categories!$B$5:$B$93,0)),"")</f>
        <v/>
      </c>
    </row>
    <row r="78">
      <c r="H78">
        <f>IFERROR(INDEX(Categories!$A$5:$A$93,MATCH(G78,Categories!$B$5:$B$93,0)),"")</f>
        <v/>
      </c>
    </row>
    <row r="79">
      <c r="H79">
        <f>IFERROR(INDEX(Categories!$A$5:$A$93,MATCH(G79,Categories!$B$5:$B$93,0)),"")</f>
        <v/>
      </c>
    </row>
    <row r="80">
      <c r="H80">
        <f>IFERROR(INDEX(Categories!$A$5:$A$93,MATCH(G80,Categories!$B$5:$B$93,0)),"")</f>
        <v/>
      </c>
    </row>
    <row r="81">
      <c r="H81">
        <f>IFERROR(INDEX(Categories!$A$5:$A$93,MATCH(G81,Categories!$B$5:$B$93,0)),"")</f>
        <v/>
      </c>
    </row>
    <row r="82">
      <c r="H82">
        <f>IFERROR(INDEX(Categories!$A$5:$A$93,MATCH(G82,Categories!$B$5:$B$93,0)),"")</f>
        <v/>
      </c>
    </row>
    <row r="83">
      <c r="H83">
        <f>IFERROR(INDEX(Categories!$A$5:$A$93,MATCH(G83,Categories!$B$5:$B$93,0)),"")</f>
        <v/>
      </c>
    </row>
    <row r="84">
      <c r="H84">
        <f>IFERROR(INDEX(Categories!$A$5:$A$93,MATCH(G84,Categories!$B$5:$B$93,0)),"")</f>
        <v/>
      </c>
    </row>
    <row r="85">
      <c r="H85">
        <f>IFERROR(INDEX(Categories!$A$5:$A$93,MATCH(G85,Categories!$B$5:$B$93,0)),"")</f>
        <v/>
      </c>
    </row>
    <row r="86">
      <c r="H86">
        <f>IFERROR(INDEX(Categories!$A$5:$A$93,MATCH(G86,Categories!$B$5:$B$93,0)),"")</f>
        <v/>
      </c>
    </row>
    <row r="87">
      <c r="H87">
        <f>IFERROR(INDEX(Categories!$A$5:$A$93,MATCH(G87,Categories!$B$5:$B$93,0)),"")</f>
        <v/>
      </c>
    </row>
    <row r="88">
      <c r="H88">
        <f>IFERROR(INDEX(Categories!$A$5:$A$93,MATCH(G88,Categories!$B$5:$B$93,0)),"")</f>
        <v/>
      </c>
    </row>
    <row r="89">
      <c r="H89">
        <f>IFERROR(INDEX(Categories!$A$5:$A$93,MATCH(G89,Categories!$B$5:$B$93,0)),"")</f>
        <v/>
      </c>
    </row>
    <row r="90">
      <c r="H90">
        <f>IFERROR(INDEX(Categories!$A$5:$A$93,MATCH(G90,Categories!$B$5:$B$93,0)),"")</f>
        <v/>
      </c>
    </row>
    <row r="91">
      <c r="H91">
        <f>IFERROR(INDEX(Categories!$A$5:$A$93,MATCH(G91,Categories!$B$5:$B$93,0)),"")</f>
        <v/>
      </c>
    </row>
    <row r="92">
      <c r="H92">
        <f>IFERROR(INDEX(Categories!$A$5:$A$93,MATCH(G92,Categories!$B$5:$B$93,0)),"")</f>
        <v/>
      </c>
    </row>
    <row r="93">
      <c r="H93">
        <f>IFERROR(INDEX(Categories!$A$5:$A$93,MATCH(G93,Categories!$B$5:$B$93,0)),"")</f>
        <v/>
      </c>
    </row>
    <row r="94">
      <c r="H94">
        <f>IFERROR(INDEX(Categories!$A$5:$A$93,MATCH(G94,Categories!$B$5:$B$93,0)),"")</f>
        <v/>
      </c>
    </row>
    <row r="95">
      <c r="H95">
        <f>IFERROR(INDEX(Categories!$A$5:$A$93,MATCH(G95,Categories!$B$5:$B$93,0)),"")</f>
        <v/>
      </c>
    </row>
    <row r="96">
      <c r="H96">
        <f>IFERROR(INDEX(Categories!$A$5:$A$93,MATCH(G96,Categories!$B$5:$B$93,0)),"")</f>
        <v/>
      </c>
    </row>
    <row r="97">
      <c r="H97">
        <f>IFERROR(INDEX(Categories!$A$5:$A$93,MATCH(G97,Categories!$B$5:$B$93,0)),"")</f>
        <v/>
      </c>
    </row>
    <row r="98">
      <c r="H98">
        <f>IFERROR(INDEX(Categories!$A$5:$A$93,MATCH(G98,Categories!$B$5:$B$93,0)),"")</f>
        <v/>
      </c>
    </row>
    <row r="99">
      <c r="H99">
        <f>IFERROR(INDEX(Categories!$A$5:$A$93,MATCH(G99,Categories!$B$5:$B$93,0)),"")</f>
        <v/>
      </c>
    </row>
    <row r="100">
      <c r="H100">
        <f>IFERROR(INDEX(Categories!$A$5:$A$93,MATCH(G100,Categories!$B$5:$B$93,0)),"")</f>
        <v/>
      </c>
    </row>
    <row r="101">
      <c r="H101">
        <f>IFERROR(INDEX(Categories!$A$5:$A$93,MATCH(G101,Categories!$B$5:$B$93,0)),"")</f>
        <v/>
      </c>
    </row>
    <row r="102">
      <c r="H102">
        <f>IFERROR(INDEX(Categories!$A$5:$A$93,MATCH(G102,Categories!$B$5:$B$93,0)),"")</f>
        <v/>
      </c>
    </row>
    <row r="103">
      <c r="H103">
        <f>IFERROR(INDEX(Categories!$A$5:$A$93,MATCH(G103,Categories!$B$5:$B$93,0)),"")</f>
        <v/>
      </c>
    </row>
    <row r="104">
      <c r="H104">
        <f>IFERROR(INDEX(Categories!$A$5:$A$93,MATCH(G104,Categories!$B$5:$B$93,0)),"")</f>
        <v/>
      </c>
    </row>
    <row r="105">
      <c r="H105">
        <f>IFERROR(INDEX(Categories!$A$5:$A$93,MATCH(G105,Categories!$B$5:$B$93,0)),"")</f>
        <v/>
      </c>
    </row>
    <row r="106">
      <c r="H106">
        <f>IFERROR(INDEX(Categories!$A$5:$A$93,MATCH(G106,Categories!$B$5:$B$93,0)),"")</f>
        <v/>
      </c>
    </row>
    <row r="107">
      <c r="H107">
        <f>IFERROR(INDEX(Categories!$A$5:$A$93,MATCH(G107,Categories!$B$5:$B$93,0)),"")</f>
        <v/>
      </c>
    </row>
    <row r="108">
      <c r="H108">
        <f>IFERROR(INDEX(Categories!$A$5:$A$93,MATCH(G108,Categories!$B$5:$B$93,0)),"")</f>
        <v/>
      </c>
    </row>
    <row r="109">
      <c r="H109">
        <f>IFERROR(INDEX(Categories!$A$5:$A$93,MATCH(G109,Categories!$B$5:$B$93,0)),"")</f>
        <v/>
      </c>
    </row>
    <row r="110">
      <c r="H110">
        <f>IFERROR(INDEX(Categories!$A$5:$A$93,MATCH(G110,Categories!$B$5:$B$93,0)),"")</f>
        <v/>
      </c>
    </row>
    <row r="111">
      <c r="H111">
        <f>IFERROR(INDEX(Categories!$A$5:$A$93,MATCH(G111,Categories!$B$5:$B$93,0)),"")</f>
        <v/>
      </c>
    </row>
    <row r="112">
      <c r="H112">
        <f>IFERROR(INDEX(Categories!$A$5:$A$93,MATCH(G112,Categories!$B$5:$B$93,0)),"")</f>
        <v/>
      </c>
    </row>
    <row r="113">
      <c r="H113">
        <f>IFERROR(INDEX(Categories!$A$5:$A$93,MATCH(G113,Categories!$B$5:$B$93,0)),"")</f>
        <v/>
      </c>
    </row>
    <row r="114">
      <c r="H114">
        <f>IFERROR(INDEX(Categories!$A$5:$A$93,MATCH(G114,Categories!$B$5:$B$93,0)),"")</f>
        <v/>
      </c>
    </row>
    <row r="115">
      <c r="H115">
        <f>IFERROR(INDEX(Categories!$A$5:$A$93,MATCH(G115,Categories!$B$5:$B$93,0)),"")</f>
        <v/>
      </c>
    </row>
    <row r="116">
      <c r="H116">
        <f>IFERROR(INDEX(Categories!$A$5:$A$93,MATCH(G116,Categories!$B$5:$B$93,0)),"")</f>
        <v/>
      </c>
    </row>
    <row r="117">
      <c r="H117">
        <f>IFERROR(INDEX(Categories!$A$5:$A$93,MATCH(G117,Categories!$B$5:$B$93,0)),"")</f>
        <v/>
      </c>
    </row>
    <row r="118">
      <c r="H118">
        <f>IFERROR(INDEX(Categories!$A$5:$A$93,MATCH(G118,Categories!$B$5:$B$93,0)),"")</f>
        <v/>
      </c>
    </row>
    <row r="119">
      <c r="H119">
        <f>IFERROR(INDEX(Categories!$A$5:$A$93,MATCH(G119,Categories!$B$5:$B$93,0)),"")</f>
        <v/>
      </c>
    </row>
    <row r="120">
      <c r="H120">
        <f>IFERROR(INDEX(Categories!$A$5:$A$93,MATCH(G120,Categories!$B$5:$B$93,0)),"")</f>
        <v/>
      </c>
    </row>
    <row r="121">
      <c r="H121">
        <f>IFERROR(INDEX(Categories!$A$5:$A$93,MATCH(G121,Categories!$B$5:$B$93,0)),"")</f>
        <v/>
      </c>
    </row>
    <row r="122">
      <c r="H122">
        <f>IFERROR(INDEX(Categories!$A$5:$A$93,MATCH(G122,Categories!$B$5:$B$93,0)),"")</f>
        <v/>
      </c>
    </row>
    <row r="123">
      <c r="H123">
        <f>IFERROR(INDEX(Categories!$A$5:$A$93,MATCH(G123,Categories!$B$5:$B$93,0)),"")</f>
        <v/>
      </c>
    </row>
    <row r="124">
      <c r="H124">
        <f>IFERROR(INDEX(Categories!$A$5:$A$93,MATCH(G124,Categories!$B$5:$B$93,0)),"")</f>
        <v/>
      </c>
    </row>
    <row r="125">
      <c r="H125">
        <f>IFERROR(INDEX(Categories!$A$5:$A$93,MATCH(G125,Categories!$B$5:$B$93,0)),"")</f>
        <v/>
      </c>
    </row>
    <row r="126">
      <c r="H126">
        <f>IFERROR(INDEX(Categories!$A$5:$A$93,MATCH(G126,Categories!$B$5:$B$93,0)),"")</f>
        <v/>
      </c>
    </row>
    <row r="127">
      <c r="H127">
        <f>IFERROR(INDEX(Categories!$A$5:$A$93,MATCH(G127,Categories!$B$5:$B$93,0)),"")</f>
        <v/>
      </c>
    </row>
    <row r="128">
      <c r="H128">
        <f>IFERROR(INDEX(Categories!$A$5:$A$93,MATCH(G128,Categories!$B$5:$B$93,0)),"")</f>
        <v/>
      </c>
    </row>
    <row r="129">
      <c r="H129">
        <f>IFERROR(INDEX(Categories!$A$5:$A$93,MATCH(G129,Categories!$B$5:$B$93,0)),"")</f>
        <v/>
      </c>
    </row>
    <row r="130">
      <c r="H130">
        <f>IFERROR(INDEX(Categories!$A$5:$A$93,MATCH(G130,Categories!$B$5:$B$93,0)),"")</f>
        <v/>
      </c>
    </row>
    <row r="131">
      <c r="H131">
        <f>IFERROR(INDEX(Categories!$A$5:$A$93,MATCH(G131,Categories!$B$5:$B$93,0)),"")</f>
        <v/>
      </c>
    </row>
    <row r="132">
      <c r="H132">
        <f>IFERROR(INDEX(Categories!$A$5:$A$93,MATCH(G132,Categories!$B$5:$B$93,0)),"")</f>
        <v/>
      </c>
    </row>
    <row r="133">
      <c r="H133">
        <f>IFERROR(INDEX(Categories!$A$5:$A$93,MATCH(G133,Categories!$B$5:$B$93,0)),"")</f>
        <v/>
      </c>
    </row>
    <row r="134">
      <c r="H134">
        <f>IFERROR(INDEX(Categories!$A$5:$A$93,MATCH(G134,Categories!$B$5:$B$93,0)),"")</f>
        <v/>
      </c>
    </row>
    <row r="135">
      <c r="H135">
        <f>IFERROR(INDEX(Categories!$A$5:$A$93,MATCH(G135,Categories!$B$5:$B$93,0)),"")</f>
        <v/>
      </c>
    </row>
    <row r="136">
      <c r="H136">
        <f>IFERROR(INDEX(Categories!$A$5:$A$93,MATCH(G136,Categories!$B$5:$B$93,0)),"")</f>
        <v/>
      </c>
    </row>
    <row r="137">
      <c r="H137">
        <f>IFERROR(INDEX(Categories!$A$5:$A$93,MATCH(G137,Categories!$B$5:$B$93,0)),"")</f>
        <v/>
      </c>
    </row>
    <row r="138">
      <c r="H138">
        <f>IFERROR(INDEX(Categories!$A$5:$A$93,MATCH(G138,Categories!$B$5:$B$93,0)),"")</f>
        <v/>
      </c>
    </row>
    <row r="139">
      <c r="H139">
        <f>IFERROR(INDEX(Categories!$A$5:$A$93,MATCH(G139,Categories!$B$5:$B$93,0)),"")</f>
        <v/>
      </c>
    </row>
    <row r="140">
      <c r="H140">
        <f>IFERROR(INDEX(Categories!$A$5:$A$93,MATCH(G140,Categories!$B$5:$B$93,0)),"")</f>
        <v/>
      </c>
    </row>
    <row r="141">
      <c r="H141">
        <f>IFERROR(INDEX(Categories!$A$5:$A$93,MATCH(G141,Categories!$B$5:$B$93,0)),"")</f>
        <v/>
      </c>
    </row>
    <row r="142">
      <c r="H142">
        <f>IFERROR(INDEX(Categories!$A$5:$A$93,MATCH(G142,Categories!$B$5:$B$93,0)),"")</f>
        <v/>
      </c>
    </row>
    <row r="143">
      <c r="H143">
        <f>IFERROR(INDEX(Categories!$A$5:$A$93,MATCH(G143,Categories!$B$5:$B$93,0)),"")</f>
        <v/>
      </c>
    </row>
    <row r="144">
      <c r="H144">
        <f>IFERROR(INDEX(Categories!$A$5:$A$93,MATCH(G144,Categories!$B$5:$B$93,0)),"")</f>
        <v/>
      </c>
    </row>
    <row r="145">
      <c r="H145">
        <f>IFERROR(INDEX(Categories!$A$5:$A$93,MATCH(G145,Categories!$B$5:$B$93,0)),"")</f>
        <v/>
      </c>
    </row>
    <row r="146">
      <c r="H146">
        <f>IFERROR(INDEX(Categories!$A$5:$A$93,MATCH(G146,Categories!$B$5:$B$93,0)),"")</f>
        <v/>
      </c>
    </row>
    <row r="147">
      <c r="H147">
        <f>IFERROR(INDEX(Categories!$A$5:$A$93,MATCH(G147,Categories!$B$5:$B$93,0)),"")</f>
        <v/>
      </c>
    </row>
    <row r="148">
      <c r="H148">
        <f>IFERROR(INDEX(Categories!$A$5:$A$93,MATCH(G148,Categories!$B$5:$B$93,0)),"")</f>
        <v/>
      </c>
    </row>
    <row r="149">
      <c r="H149">
        <f>IFERROR(INDEX(Categories!$A$5:$A$93,MATCH(G149,Categories!$B$5:$B$93,0)),"")</f>
        <v/>
      </c>
    </row>
    <row r="150">
      <c r="H150">
        <f>IFERROR(INDEX(Categories!$A$5:$A$93,MATCH(G150,Categories!$B$5:$B$93,0)),"")</f>
        <v/>
      </c>
    </row>
    <row r="151">
      <c r="H151">
        <f>IFERROR(INDEX(Categories!$A$5:$A$93,MATCH(G151,Categories!$B$5:$B$93,0)),"")</f>
        <v/>
      </c>
    </row>
    <row r="152">
      <c r="H152">
        <f>IFERROR(INDEX(Categories!$A$5:$A$93,MATCH(G152,Categories!$B$5:$B$93,0)),"")</f>
        <v/>
      </c>
    </row>
    <row r="153">
      <c r="H153">
        <f>IFERROR(INDEX(Categories!$A$5:$A$93,MATCH(G153,Categories!$B$5:$B$93,0)),"")</f>
        <v/>
      </c>
    </row>
    <row r="154">
      <c r="H154">
        <f>IFERROR(INDEX(Categories!$A$5:$A$93,MATCH(G154,Categories!$B$5:$B$93,0)),"")</f>
        <v/>
      </c>
    </row>
    <row r="155">
      <c r="H155">
        <f>IFERROR(INDEX(Categories!$A$5:$A$93,MATCH(G155,Categories!$B$5:$B$93,0)),"")</f>
        <v/>
      </c>
    </row>
    <row r="156">
      <c r="H156">
        <f>IFERROR(INDEX(Categories!$A$5:$A$93,MATCH(G156,Categories!$B$5:$B$93,0)),"")</f>
        <v/>
      </c>
    </row>
    <row r="157">
      <c r="H157">
        <f>IFERROR(INDEX(Categories!$A$5:$A$93,MATCH(G157,Categories!$B$5:$B$93,0)),"")</f>
        <v/>
      </c>
    </row>
    <row r="158">
      <c r="H158">
        <f>IFERROR(INDEX(Categories!$A$5:$A$93,MATCH(G158,Categories!$B$5:$B$93,0)),"")</f>
        <v/>
      </c>
    </row>
    <row r="159">
      <c r="H159">
        <f>IFERROR(INDEX(Categories!$A$5:$A$93,MATCH(G159,Categories!$B$5:$B$93,0)),"")</f>
        <v/>
      </c>
    </row>
    <row r="160">
      <c r="H160">
        <f>IFERROR(INDEX(Categories!$A$5:$A$93,MATCH(G160,Categories!$B$5:$B$93,0)),"")</f>
        <v/>
      </c>
    </row>
    <row r="161">
      <c r="H161">
        <f>IFERROR(INDEX(Categories!$A$5:$A$93,MATCH(G161,Categories!$B$5:$B$93,0)),"")</f>
        <v/>
      </c>
    </row>
    <row r="162">
      <c r="H162">
        <f>IFERROR(INDEX(Categories!$A$5:$A$93,MATCH(G162,Categories!$B$5:$B$93,0)),"")</f>
        <v/>
      </c>
    </row>
    <row r="163">
      <c r="H163">
        <f>IFERROR(INDEX(Categories!$A$5:$A$93,MATCH(G163,Categories!$B$5:$B$93,0)),"")</f>
        <v/>
      </c>
    </row>
    <row r="164">
      <c r="H164">
        <f>IFERROR(INDEX(Categories!$A$5:$A$93,MATCH(G164,Categories!$B$5:$B$93,0)),"")</f>
        <v/>
      </c>
    </row>
    <row r="165">
      <c r="H165">
        <f>IFERROR(INDEX(Categories!$A$5:$A$93,MATCH(G165,Categories!$B$5:$B$93,0)),"")</f>
        <v/>
      </c>
    </row>
    <row r="166">
      <c r="H166">
        <f>IFERROR(INDEX(Categories!$A$5:$A$93,MATCH(G166,Categories!$B$5:$B$93,0)),"")</f>
        <v/>
      </c>
    </row>
    <row r="167">
      <c r="H167">
        <f>IFERROR(INDEX(Categories!$A$5:$A$93,MATCH(G167,Categories!$B$5:$B$93,0)),"")</f>
        <v/>
      </c>
    </row>
    <row r="168">
      <c r="H168">
        <f>IFERROR(INDEX(Categories!$A$5:$A$93,MATCH(G168,Categories!$B$5:$B$93,0)),"")</f>
        <v/>
      </c>
    </row>
    <row r="169">
      <c r="H169">
        <f>IFERROR(INDEX(Categories!$A$5:$A$93,MATCH(G169,Categories!$B$5:$B$93,0)),"")</f>
        <v/>
      </c>
    </row>
    <row r="170">
      <c r="H170">
        <f>IFERROR(INDEX(Categories!$A$5:$A$93,MATCH(G170,Categories!$B$5:$B$93,0)),"")</f>
        <v/>
      </c>
    </row>
    <row r="171">
      <c r="H171">
        <f>IFERROR(INDEX(Categories!$A$5:$A$93,MATCH(G171,Categories!$B$5:$B$93,0)),"")</f>
        <v/>
      </c>
    </row>
    <row r="172">
      <c r="H172">
        <f>IFERROR(INDEX(Categories!$A$5:$A$93,MATCH(G172,Categories!$B$5:$B$93,0)),"")</f>
        <v/>
      </c>
    </row>
    <row r="173">
      <c r="H173">
        <f>IFERROR(INDEX(Categories!$A$5:$A$93,MATCH(G173,Categories!$B$5:$B$93,0)),"")</f>
        <v/>
      </c>
    </row>
    <row r="174">
      <c r="H174">
        <f>IFERROR(INDEX(Categories!$A$5:$A$93,MATCH(G174,Categories!$B$5:$B$93,0)),"")</f>
        <v/>
      </c>
    </row>
    <row r="175">
      <c r="H175">
        <f>IFERROR(INDEX(Categories!$A$5:$A$93,MATCH(G175,Categories!$B$5:$B$93,0)),"")</f>
        <v/>
      </c>
    </row>
    <row r="176">
      <c r="H176">
        <f>IFERROR(INDEX(Categories!$A$5:$A$93,MATCH(G176,Categories!$B$5:$B$93,0)),"")</f>
        <v/>
      </c>
    </row>
    <row r="177">
      <c r="H177">
        <f>IFERROR(INDEX(Categories!$A$5:$A$93,MATCH(G177,Categories!$B$5:$B$93,0)),"")</f>
        <v/>
      </c>
    </row>
    <row r="178">
      <c r="H178">
        <f>IFERROR(INDEX(Categories!$A$5:$A$93,MATCH(G178,Categories!$B$5:$B$93,0)),"")</f>
        <v/>
      </c>
    </row>
    <row r="179">
      <c r="H179">
        <f>IFERROR(INDEX(Categories!$A$5:$A$93,MATCH(G179,Categories!$B$5:$B$93,0)),"")</f>
        <v/>
      </c>
    </row>
    <row r="180">
      <c r="H180">
        <f>IFERROR(INDEX(Categories!$A$5:$A$93,MATCH(G180,Categories!$B$5:$B$93,0)),"")</f>
        <v/>
      </c>
    </row>
    <row r="181">
      <c r="H181">
        <f>IFERROR(INDEX(Categories!$A$5:$A$93,MATCH(G181,Categories!$B$5:$B$93,0)),"")</f>
        <v/>
      </c>
    </row>
    <row r="182">
      <c r="H182">
        <f>IFERROR(INDEX(Categories!$A$5:$A$93,MATCH(G182,Categories!$B$5:$B$93,0)),"")</f>
        <v/>
      </c>
    </row>
    <row r="183">
      <c r="H183">
        <f>IFERROR(INDEX(Categories!$A$5:$A$93,MATCH(G183,Categories!$B$5:$B$93,0)),"")</f>
        <v/>
      </c>
    </row>
    <row r="184">
      <c r="H184">
        <f>IFERROR(INDEX(Categories!$A$5:$A$93,MATCH(G184,Categories!$B$5:$B$93,0)),"")</f>
        <v/>
      </c>
    </row>
    <row r="185">
      <c r="H185">
        <f>IFERROR(INDEX(Categories!$A$5:$A$93,MATCH(G185,Categories!$B$5:$B$93,0)),"")</f>
        <v/>
      </c>
    </row>
    <row r="186">
      <c r="H186">
        <f>IFERROR(INDEX(Categories!$A$5:$A$93,MATCH(G186,Categories!$B$5:$B$93,0)),"")</f>
        <v/>
      </c>
    </row>
    <row r="187">
      <c r="H187">
        <f>IFERROR(INDEX(Categories!$A$5:$A$93,MATCH(G187,Categories!$B$5:$B$93,0)),"")</f>
        <v/>
      </c>
    </row>
    <row r="188">
      <c r="H188">
        <f>IFERROR(INDEX(Categories!$A$5:$A$93,MATCH(G188,Categories!$B$5:$B$93,0)),"")</f>
        <v/>
      </c>
    </row>
    <row r="189">
      <c r="H189">
        <f>IFERROR(INDEX(Categories!$A$5:$A$93,MATCH(G189,Categories!$B$5:$B$93,0)),"")</f>
        <v/>
      </c>
    </row>
    <row r="190">
      <c r="H190">
        <f>IFERROR(INDEX(Categories!$A$5:$A$93,MATCH(G190,Categories!$B$5:$B$93,0)),"")</f>
        <v/>
      </c>
    </row>
    <row r="191">
      <c r="H191">
        <f>IFERROR(INDEX(Categories!$A$5:$A$93,MATCH(G191,Categories!$B$5:$B$93,0)),"")</f>
        <v/>
      </c>
    </row>
    <row r="192">
      <c r="H192">
        <f>IFERROR(INDEX(Categories!$A$5:$A$93,MATCH(G192,Categories!$B$5:$B$93,0)),"")</f>
        <v/>
      </c>
    </row>
    <row r="193">
      <c r="H193">
        <f>IFERROR(INDEX(Categories!$A$5:$A$93,MATCH(G193,Categories!$B$5:$B$93,0)),"")</f>
        <v/>
      </c>
    </row>
    <row r="194">
      <c r="H194">
        <f>IFERROR(INDEX(Categories!$A$5:$A$93,MATCH(G194,Categories!$B$5:$B$93,0)),"")</f>
        <v/>
      </c>
    </row>
    <row r="195">
      <c r="H195">
        <f>IFERROR(INDEX(Categories!$A$5:$A$93,MATCH(G195,Categories!$B$5:$B$93,0)),"")</f>
        <v/>
      </c>
    </row>
    <row r="196">
      <c r="H196">
        <f>IFERROR(INDEX(Categories!$A$5:$A$93,MATCH(G196,Categories!$B$5:$B$93,0)),"")</f>
        <v/>
      </c>
    </row>
    <row r="197">
      <c r="H197">
        <f>IFERROR(INDEX(Categories!$A$5:$A$93,MATCH(G197,Categories!$B$5:$B$93,0)),"")</f>
        <v/>
      </c>
    </row>
    <row r="198">
      <c r="H198">
        <f>IFERROR(INDEX(Categories!$A$5:$A$93,MATCH(G198,Categories!$B$5:$B$93,0)),"")</f>
        <v/>
      </c>
    </row>
    <row r="199">
      <c r="H199">
        <f>IFERROR(INDEX(Categories!$A$5:$A$93,MATCH(G199,Categories!$B$5:$B$93,0)),"")</f>
        <v/>
      </c>
    </row>
    <row r="200">
      <c r="H200">
        <f>IFERROR(INDEX(Categories!$A$5:$A$93,MATCH(G200,Categories!$B$5:$B$93,0)),"")</f>
        <v/>
      </c>
    </row>
    <row r="201">
      <c r="H201">
        <f>IFERROR(INDEX(Categories!$A$5:$A$93,MATCH(G201,Categories!$B$5:$B$93,0)),"")</f>
        <v/>
      </c>
    </row>
    <row r="202">
      <c r="H202">
        <f>IFERROR(INDEX(Categories!$A$5:$A$93,MATCH(G202,Categories!$B$5:$B$93,0)),"")</f>
        <v/>
      </c>
    </row>
    <row r="203">
      <c r="H203">
        <f>IFERROR(INDEX(Categories!$A$5:$A$93,MATCH(G203,Categories!$B$5:$B$93,0)),"")</f>
        <v/>
      </c>
    </row>
    <row r="204">
      <c r="H204">
        <f>IFERROR(INDEX(Categories!$A$5:$A$93,MATCH(G204,Categories!$B$5:$B$93,0)),"")</f>
        <v/>
      </c>
    </row>
    <row r="205">
      <c r="H205">
        <f>IFERROR(INDEX(Categories!$A$5:$A$93,MATCH(G205,Categories!$B$5:$B$93,0)),"")</f>
        <v/>
      </c>
    </row>
    <row r="206">
      <c r="H206">
        <f>IFERROR(INDEX(Categories!$A$5:$A$93,MATCH(G206,Categories!$B$5:$B$93,0)),"")</f>
        <v/>
      </c>
    </row>
    <row r="207">
      <c r="H207">
        <f>IFERROR(INDEX(Categories!$A$5:$A$93,MATCH(G207,Categories!$B$5:$B$93,0)),"")</f>
        <v/>
      </c>
    </row>
    <row r="208">
      <c r="H208">
        <f>IFERROR(INDEX(Categories!$A$5:$A$93,MATCH(G208,Categories!$B$5:$B$93,0)),"")</f>
        <v/>
      </c>
    </row>
    <row r="209">
      <c r="H209">
        <f>IFERROR(INDEX(Categories!$A$5:$A$93,MATCH(G209,Categories!$B$5:$B$93,0)),"")</f>
        <v/>
      </c>
    </row>
    <row r="210">
      <c r="H210">
        <f>IFERROR(INDEX(Categories!$A$5:$A$93,MATCH(G210,Categories!$B$5:$B$93,0)),"")</f>
        <v/>
      </c>
    </row>
    <row r="211">
      <c r="H211">
        <f>IFERROR(INDEX(Categories!$A$5:$A$93,MATCH(G211,Categories!$B$5:$B$93,0)),"")</f>
        <v/>
      </c>
    </row>
    <row r="212">
      <c r="H212">
        <f>IFERROR(INDEX(Categories!$A$5:$A$93,MATCH(G212,Categories!$B$5:$B$93,0)),"")</f>
        <v/>
      </c>
    </row>
    <row r="213">
      <c r="H213">
        <f>IFERROR(INDEX(Categories!$A$5:$A$93,MATCH(G213,Categories!$B$5:$B$93,0)),"")</f>
        <v/>
      </c>
    </row>
    <row r="214">
      <c r="H214">
        <f>IFERROR(INDEX(Categories!$A$5:$A$93,MATCH(G214,Categories!$B$5:$B$93,0)),"")</f>
        <v/>
      </c>
    </row>
    <row r="215">
      <c r="H215">
        <f>IFERROR(INDEX(Categories!$A$5:$A$93,MATCH(G215,Categories!$B$5:$B$93,0)),"")</f>
        <v/>
      </c>
    </row>
    <row r="216">
      <c r="H216">
        <f>IFERROR(INDEX(Categories!$A$5:$A$93,MATCH(G216,Categories!$B$5:$B$93,0)),"")</f>
        <v/>
      </c>
    </row>
    <row r="217">
      <c r="H217">
        <f>IFERROR(INDEX(Categories!$A$5:$A$93,MATCH(G217,Categories!$B$5:$B$93,0)),"")</f>
        <v/>
      </c>
    </row>
    <row r="218">
      <c r="H218">
        <f>IFERROR(INDEX(Categories!$A$5:$A$93,MATCH(G218,Categories!$B$5:$B$93,0)),"")</f>
        <v/>
      </c>
    </row>
    <row r="219">
      <c r="H219">
        <f>IFERROR(INDEX(Categories!$A$5:$A$93,MATCH(G219,Categories!$B$5:$B$93,0)),"")</f>
        <v/>
      </c>
    </row>
    <row r="220">
      <c r="H220">
        <f>IFERROR(INDEX(Categories!$A$5:$A$93,MATCH(G220,Categories!$B$5:$B$93,0)),"")</f>
        <v/>
      </c>
    </row>
    <row r="221">
      <c r="H221">
        <f>IFERROR(INDEX(Categories!$A$5:$A$93,MATCH(G221,Categories!$B$5:$B$93,0)),"")</f>
        <v/>
      </c>
    </row>
    <row r="222">
      <c r="H222">
        <f>IFERROR(INDEX(Categories!$A$5:$A$93,MATCH(G222,Categories!$B$5:$B$93,0)),"")</f>
        <v/>
      </c>
    </row>
    <row r="223">
      <c r="H223">
        <f>IFERROR(INDEX(Categories!$A$5:$A$93,MATCH(G223,Categories!$B$5:$B$93,0)),"")</f>
        <v/>
      </c>
    </row>
    <row r="224">
      <c r="H224">
        <f>IFERROR(INDEX(Categories!$A$5:$A$93,MATCH(G224,Categories!$B$5:$B$93,0)),"")</f>
        <v/>
      </c>
    </row>
    <row r="225">
      <c r="H225">
        <f>IFERROR(INDEX(Categories!$A$5:$A$93,MATCH(G225,Categories!$B$5:$B$93,0)),"")</f>
        <v/>
      </c>
    </row>
    <row r="226">
      <c r="H226">
        <f>IFERROR(INDEX(Categories!$A$5:$A$93,MATCH(G226,Categories!$B$5:$B$93,0)),"")</f>
        <v/>
      </c>
    </row>
    <row r="227">
      <c r="H227">
        <f>IFERROR(INDEX(Categories!$A$5:$A$93,MATCH(G227,Categories!$B$5:$B$93,0)),"")</f>
        <v/>
      </c>
    </row>
    <row r="228">
      <c r="H228">
        <f>IFERROR(INDEX(Categories!$A$5:$A$93,MATCH(G228,Categories!$B$5:$B$93,0)),"")</f>
        <v/>
      </c>
    </row>
    <row r="229">
      <c r="H229">
        <f>IFERROR(INDEX(Categories!$A$5:$A$93,MATCH(G229,Categories!$B$5:$B$93,0)),"")</f>
        <v/>
      </c>
    </row>
    <row r="230">
      <c r="H230">
        <f>IFERROR(INDEX(Categories!$A$5:$A$93,MATCH(G230,Categories!$B$5:$B$93,0)),"")</f>
        <v/>
      </c>
    </row>
    <row r="231">
      <c r="H231">
        <f>IFERROR(INDEX(Categories!$A$5:$A$93,MATCH(G231,Categories!$B$5:$B$93,0)),"")</f>
        <v/>
      </c>
    </row>
    <row r="232">
      <c r="H232">
        <f>IFERROR(INDEX(Categories!$A$5:$A$93,MATCH(G232,Categories!$B$5:$B$93,0)),"")</f>
        <v/>
      </c>
    </row>
    <row r="233">
      <c r="H233">
        <f>IFERROR(INDEX(Categories!$A$5:$A$93,MATCH(G233,Categories!$B$5:$B$93,0)),"")</f>
        <v/>
      </c>
    </row>
    <row r="234">
      <c r="H234">
        <f>IFERROR(INDEX(Categories!$A$5:$A$93,MATCH(G234,Categories!$B$5:$B$93,0)),"")</f>
        <v/>
      </c>
    </row>
    <row r="235">
      <c r="H235">
        <f>IFERROR(INDEX(Categories!$A$5:$A$93,MATCH(G235,Categories!$B$5:$B$93,0)),"")</f>
        <v/>
      </c>
    </row>
    <row r="236">
      <c r="H236">
        <f>IFERROR(INDEX(Categories!$A$5:$A$93,MATCH(G236,Categories!$B$5:$B$93,0)),"")</f>
        <v/>
      </c>
    </row>
    <row r="237">
      <c r="H237">
        <f>IFERROR(INDEX(Categories!$A$5:$A$93,MATCH(G237,Categories!$B$5:$B$93,0)),"")</f>
        <v/>
      </c>
    </row>
    <row r="238">
      <c r="H238">
        <f>IFERROR(INDEX(Categories!$A$5:$A$93,MATCH(G238,Categories!$B$5:$B$93,0)),"")</f>
        <v/>
      </c>
    </row>
    <row r="239">
      <c r="H239">
        <f>IFERROR(INDEX(Categories!$A$5:$A$93,MATCH(G239,Categories!$B$5:$B$93,0)),"")</f>
        <v/>
      </c>
    </row>
    <row r="240">
      <c r="H240">
        <f>IFERROR(INDEX(Categories!$A$5:$A$93,MATCH(G240,Categories!$B$5:$B$93,0)),"")</f>
        <v/>
      </c>
    </row>
    <row r="241">
      <c r="H241">
        <f>IFERROR(INDEX(Categories!$A$5:$A$93,MATCH(G241,Categories!$B$5:$B$93,0)),"")</f>
        <v/>
      </c>
    </row>
    <row r="242">
      <c r="H242">
        <f>IFERROR(INDEX(Categories!$A$5:$A$93,MATCH(G242,Categories!$B$5:$B$93,0)),"")</f>
        <v/>
      </c>
    </row>
    <row r="243">
      <c r="H243">
        <f>IFERROR(INDEX(Categories!$A$5:$A$93,MATCH(G243,Categories!$B$5:$B$93,0)),"")</f>
        <v/>
      </c>
    </row>
    <row r="244">
      <c r="H244">
        <f>IFERROR(INDEX(Categories!$A$5:$A$93,MATCH(G244,Categories!$B$5:$B$93,0)),"")</f>
        <v/>
      </c>
    </row>
    <row r="245">
      <c r="H245">
        <f>IFERROR(INDEX(Categories!$A$5:$A$93,MATCH(G245,Categories!$B$5:$B$93,0)),"")</f>
        <v/>
      </c>
    </row>
    <row r="246">
      <c r="H246">
        <f>IFERROR(INDEX(Categories!$A$5:$A$93,MATCH(G246,Categories!$B$5:$B$93,0)),"")</f>
        <v/>
      </c>
    </row>
    <row r="247">
      <c r="H247">
        <f>IFERROR(INDEX(Categories!$A$5:$A$93,MATCH(G247,Categories!$B$5:$B$93,0)),"")</f>
        <v/>
      </c>
    </row>
    <row r="248">
      <c r="H248">
        <f>IFERROR(INDEX(Categories!$A$5:$A$93,MATCH(G248,Categories!$B$5:$B$93,0)),"")</f>
        <v/>
      </c>
    </row>
    <row r="249">
      <c r="H249">
        <f>IFERROR(INDEX(Categories!$A$5:$A$93,MATCH(G249,Categories!$B$5:$B$93,0)),"")</f>
        <v/>
      </c>
    </row>
    <row r="250">
      <c r="H250">
        <f>IFERROR(INDEX(Categories!$A$5:$A$93,MATCH(G250,Categories!$B$5:$B$93,0)),"")</f>
        <v/>
      </c>
    </row>
    <row r="251">
      <c r="H251">
        <f>IFERROR(INDEX(Categories!$A$5:$A$93,MATCH(G251,Categories!$B$5:$B$93,0)),"")</f>
        <v/>
      </c>
    </row>
    <row r="252">
      <c r="H252">
        <f>IFERROR(INDEX(Categories!$A$5:$A$93,MATCH(G252,Categories!$B$5:$B$93,0)),"")</f>
        <v/>
      </c>
    </row>
    <row r="253">
      <c r="H253">
        <f>IFERROR(INDEX(Categories!$A$5:$A$93,MATCH(G253,Categories!$B$5:$B$93,0)),"")</f>
        <v/>
      </c>
    </row>
    <row r="254">
      <c r="H254">
        <f>IFERROR(INDEX(Categories!$A$5:$A$93,MATCH(G254,Categories!$B$5:$B$93,0)),"")</f>
        <v/>
      </c>
    </row>
    <row r="255">
      <c r="H255">
        <f>IFERROR(INDEX(Categories!$A$5:$A$93,MATCH(G255,Categories!$B$5:$B$93,0)),"")</f>
        <v/>
      </c>
    </row>
    <row r="256">
      <c r="H256">
        <f>IFERROR(INDEX(Categories!$A$5:$A$93,MATCH(G256,Categories!$B$5:$B$93,0)),"")</f>
        <v/>
      </c>
    </row>
    <row r="257">
      <c r="H257">
        <f>IFERROR(INDEX(Categories!$A$5:$A$93,MATCH(G257,Categories!$B$5:$B$93,0)),"")</f>
        <v/>
      </c>
    </row>
    <row r="258">
      <c r="H258">
        <f>IFERROR(INDEX(Categories!$A$5:$A$93,MATCH(G258,Categories!$B$5:$B$93,0)),"")</f>
        <v/>
      </c>
    </row>
    <row r="259">
      <c r="H259">
        <f>IFERROR(INDEX(Categories!$A$5:$A$93,MATCH(G259,Categories!$B$5:$B$93,0)),"")</f>
        <v/>
      </c>
    </row>
    <row r="260">
      <c r="H260">
        <f>IFERROR(INDEX(Categories!$A$5:$A$93,MATCH(G260,Categories!$B$5:$B$93,0)),"")</f>
        <v/>
      </c>
    </row>
    <row r="261">
      <c r="H261">
        <f>IFERROR(INDEX(Categories!$A$5:$A$93,MATCH(G261,Categories!$B$5:$B$93,0)),"")</f>
        <v/>
      </c>
    </row>
    <row r="262">
      <c r="H262">
        <f>IFERROR(INDEX(Categories!$A$5:$A$93,MATCH(G262,Categories!$B$5:$B$93,0)),"")</f>
        <v/>
      </c>
    </row>
    <row r="263">
      <c r="H263">
        <f>IFERROR(INDEX(Categories!$A$5:$A$93,MATCH(G263,Categories!$B$5:$B$93,0)),"")</f>
        <v/>
      </c>
    </row>
    <row r="264">
      <c r="H264">
        <f>IFERROR(INDEX(Categories!$A$5:$A$93,MATCH(G264,Categories!$B$5:$B$93,0)),"")</f>
        <v/>
      </c>
    </row>
    <row r="265">
      <c r="H265">
        <f>IFERROR(INDEX(Categories!$A$5:$A$93,MATCH(G265,Categories!$B$5:$B$93,0)),"")</f>
        <v/>
      </c>
    </row>
    <row r="266">
      <c r="H266">
        <f>IFERROR(INDEX(Categories!$A$5:$A$93,MATCH(G266,Categories!$B$5:$B$93,0)),"")</f>
        <v/>
      </c>
    </row>
    <row r="267">
      <c r="H267">
        <f>IFERROR(INDEX(Categories!$A$5:$A$93,MATCH(G267,Categories!$B$5:$B$93,0)),"")</f>
        <v/>
      </c>
    </row>
    <row r="268">
      <c r="H268">
        <f>IFERROR(INDEX(Categories!$A$5:$A$93,MATCH(G268,Categories!$B$5:$B$93,0)),"")</f>
        <v/>
      </c>
    </row>
    <row r="269">
      <c r="H269">
        <f>IFERROR(INDEX(Categories!$A$5:$A$93,MATCH(G269,Categories!$B$5:$B$93,0)),"")</f>
        <v/>
      </c>
    </row>
    <row r="270">
      <c r="H270">
        <f>IFERROR(INDEX(Categories!$A$5:$A$93,MATCH(G270,Categories!$B$5:$B$93,0)),"")</f>
        <v/>
      </c>
    </row>
    <row r="271">
      <c r="H271">
        <f>IFERROR(INDEX(Categories!$A$5:$A$93,MATCH(G271,Categories!$B$5:$B$93,0)),"")</f>
        <v/>
      </c>
    </row>
    <row r="272">
      <c r="H272">
        <f>IFERROR(INDEX(Categories!$A$5:$A$93,MATCH(G272,Categories!$B$5:$B$93,0)),"")</f>
        <v/>
      </c>
    </row>
    <row r="273">
      <c r="H273">
        <f>IFERROR(INDEX(Categories!$A$5:$A$93,MATCH(G273,Categories!$B$5:$B$93,0)),"")</f>
        <v/>
      </c>
    </row>
    <row r="274">
      <c r="H274">
        <f>IFERROR(INDEX(Categories!$A$5:$A$93,MATCH(G274,Categories!$B$5:$B$93,0)),"")</f>
        <v/>
      </c>
    </row>
    <row r="275">
      <c r="H275">
        <f>IFERROR(INDEX(Categories!$A$5:$A$93,MATCH(G275,Categories!$B$5:$B$93,0)),"")</f>
        <v/>
      </c>
    </row>
    <row r="276">
      <c r="H276">
        <f>IFERROR(INDEX(Categories!$A$5:$A$93,MATCH(G276,Categories!$B$5:$B$93,0)),"")</f>
        <v/>
      </c>
    </row>
    <row r="277">
      <c r="H277">
        <f>IFERROR(INDEX(Categories!$A$5:$A$93,MATCH(G277,Categories!$B$5:$B$93,0)),"")</f>
        <v/>
      </c>
    </row>
    <row r="278">
      <c r="H278">
        <f>IFERROR(INDEX(Categories!$A$5:$A$93,MATCH(G278,Categories!$B$5:$B$93,0)),"")</f>
        <v/>
      </c>
    </row>
    <row r="279">
      <c r="H279">
        <f>IFERROR(INDEX(Categories!$A$5:$A$93,MATCH(G279,Categories!$B$5:$B$93,0)),"")</f>
        <v/>
      </c>
    </row>
    <row r="280">
      <c r="H280">
        <f>IFERROR(INDEX(Categories!$A$5:$A$93,MATCH(G280,Categories!$B$5:$B$93,0)),"")</f>
        <v/>
      </c>
    </row>
    <row r="281">
      <c r="H281">
        <f>IFERROR(INDEX(Categories!$A$5:$A$93,MATCH(G281,Categories!$B$5:$B$93,0)),"")</f>
        <v/>
      </c>
    </row>
    <row r="282">
      <c r="H282">
        <f>IFERROR(INDEX(Categories!$A$5:$A$93,MATCH(G282,Categories!$B$5:$B$93,0)),"")</f>
        <v/>
      </c>
    </row>
    <row r="283">
      <c r="H283">
        <f>IFERROR(INDEX(Categories!$A$5:$A$93,MATCH(G283,Categories!$B$5:$B$93,0)),"")</f>
        <v/>
      </c>
    </row>
    <row r="284">
      <c r="H284">
        <f>IFERROR(INDEX(Categories!$A$5:$A$93,MATCH(G284,Categories!$B$5:$B$93,0)),"")</f>
        <v/>
      </c>
    </row>
    <row r="285">
      <c r="H285">
        <f>IFERROR(INDEX(Categories!$A$5:$A$93,MATCH(G285,Categories!$B$5:$B$93,0)),"")</f>
        <v/>
      </c>
    </row>
    <row r="286">
      <c r="H286">
        <f>IFERROR(INDEX(Categories!$A$5:$A$93,MATCH(G286,Categories!$B$5:$B$93,0)),"")</f>
        <v/>
      </c>
    </row>
    <row r="287">
      <c r="H287">
        <f>IFERROR(INDEX(Categories!$A$5:$A$93,MATCH(G287,Categories!$B$5:$B$93,0)),"")</f>
        <v/>
      </c>
    </row>
    <row r="288">
      <c r="H288">
        <f>IFERROR(INDEX(Categories!$A$5:$A$93,MATCH(G288,Categories!$B$5:$B$93,0)),"")</f>
        <v/>
      </c>
    </row>
    <row r="289">
      <c r="H289">
        <f>IFERROR(INDEX(Categories!$A$5:$A$93,MATCH(G289,Categories!$B$5:$B$93,0)),"")</f>
        <v/>
      </c>
    </row>
    <row r="290">
      <c r="H290">
        <f>IFERROR(INDEX(Categories!$A$5:$A$93,MATCH(G290,Categories!$B$5:$B$93,0)),"")</f>
        <v/>
      </c>
    </row>
    <row r="291">
      <c r="H291">
        <f>IFERROR(INDEX(Categories!$A$5:$A$93,MATCH(G291,Categories!$B$5:$B$93,0)),"")</f>
        <v/>
      </c>
    </row>
    <row r="292">
      <c r="H292">
        <f>IFERROR(INDEX(Categories!$A$5:$A$93,MATCH(G292,Categories!$B$5:$B$93,0)),"")</f>
        <v/>
      </c>
    </row>
    <row r="293">
      <c r="H293">
        <f>IFERROR(INDEX(Categories!$A$5:$A$93,MATCH(G293,Categories!$B$5:$B$93,0)),"")</f>
        <v/>
      </c>
    </row>
    <row r="294">
      <c r="H294">
        <f>IFERROR(INDEX(Categories!$A$5:$A$93,MATCH(G294,Categories!$B$5:$B$93,0)),"")</f>
        <v/>
      </c>
    </row>
    <row r="295">
      <c r="H295">
        <f>IFERROR(INDEX(Categories!$A$5:$A$93,MATCH(G295,Categories!$B$5:$B$93,0)),"")</f>
        <v/>
      </c>
    </row>
    <row r="296">
      <c r="H296">
        <f>IFERROR(INDEX(Categories!$A$5:$A$93,MATCH(G296,Categories!$B$5:$B$93,0)),"")</f>
        <v/>
      </c>
    </row>
    <row r="297">
      <c r="H297">
        <f>IFERROR(INDEX(Categories!$A$5:$A$93,MATCH(G297,Categories!$B$5:$B$93,0)),"")</f>
        <v/>
      </c>
    </row>
    <row r="298">
      <c r="H298">
        <f>IFERROR(INDEX(Categories!$A$5:$A$93,MATCH(G298,Categories!$B$5:$B$93,0)),"")</f>
        <v/>
      </c>
    </row>
    <row r="299">
      <c r="H299">
        <f>IFERROR(INDEX(Categories!$A$5:$A$93,MATCH(G299,Categories!$B$5:$B$93,0)),"")</f>
        <v/>
      </c>
    </row>
    <row r="300">
      <c r="H300">
        <f>IFERROR(INDEX(Categories!$A$5:$A$93,MATCH(G300,Categories!$B$5:$B$93,0)),"")</f>
        <v/>
      </c>
    </row>
    <row r="301">
      <c r="H301">
        <f>IFERROR(INDEX(Categories!$A$5:$A$93,MATCH(G301,Categories!$B$5:$B$93,0)),"")</f>
        <v/>
      </c>
    </row>
    <row r="302">
      <c r="H302">
        <f>IFERROR(INDEX(Categories!$A$5:$A$93,MATCH(G302,Categories!$B$5:$B$93,0)),"")</f>
        <v/>
      </c>
    </row>
    <row r="303">
      <c r="H303">
        <f>IFERROR(INDEX(Categories!$A$5:$A$93,MATCH(G303,Categories!$B$5:$B$93,0)),"")</f>
        <v/>
      </c>
    </row>
    <row r="304">
      <c r="H304">
        <f>IFERROR(INDEX(Categories!$A$5:$A$93,MATCH(G304,Categories!$B$5:$B$93,0)),"")</f>
        <v/>
      </c>
    </row>
  </sheetData>
  <autoFilter ref="A4:J5"/>
  <conditionalFormatting sqref="I5:I304">
    <cfRule type="cellIs" priority="1" operator="equal" dxfId="0">
      <formula>"R"</formula>
    </cfRule>
    <cfRule type="cellIs" priority="2" operator="equal" dxfId="1">
      <formula>"D"</formula>
    </cfRule>
    <cfRule type="cellIs" priority="3" operator="equal" dxfId="2">
      <formula>"H"</formula>
    </cfRule>
  </conditionalFormatting>
  <dataValidations count="1">
    <dataValidation sqref="G5:G304" showDropDown="0" showInputMessage="0" showErrorMessage="1" allowBlank="1" error="Pick a category from the dropdown (see the Categories tab for the full list)." type="list">
      <formula1>Categories!$B$5:$B$93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12" customWidth="1" min="4" max="4"/>
    <col width="16" customWidth="1" min="5" max="5"/>
    <col width="13" customWidth="1" min="6" max="6"/>
    <col width="24" customWidth="1" min="7" max="7"/>
    <col width="14" customWidth="1" min="8" max="8"/>
    <col width="11" customWidth="1" min="9" max="9"/>
    <col width="55" customWidth="1" min="10" max="10"/>
  </cols>
  <sheetData>
    <row r="1">
      <c r="A1" s="1" t="inlineStr">
        <is>
          <t>PayPal Transactions</t>
        </is>
      </c>
    </row>
    <row r="2">
      <c r="A2" s="2" t="inlineStr">
        <is>
          <t>Template, ready for your next PayPal statement or export - paste rows in starting at row 5, columns A-F (Account, Date, Description, Amount, Type, source Balance). Then set Category in column G.</t>
        </is>
      </c>
    </row>
    <row r="4">
      <c r="A4" s="4" t="inlineStr">
        <is>
          <t>Account</t>
        </is>
      </c>
      <c r="B4" s="4" t="inlineStr">
        <is>
          <t>Date</t>
        </is>
      </c>
      <c r="C4" s="4" t="inlineStr">
        <is>
          <t>Description</t>
        </is>
      </c>
      <c r="D4" s="4" t="inlineStr">
        <is>
          <t>Amount</t>
        </is>
      </c>
      <c r="E4" s="4" t="inlineStr">
        <is>
          <t>Type</t>
        </is>
      </c>
      <c r="F4" s="4" t="inlineStr">
        <is>
          <t>Source Balance</t>
        </is>
      </c>
      <c r="G4" s="4" t="inlineStr">
        <is>
          <t>Category</t>
        </is>
      </c>
      <c r="H4" s="4" t="inlineStr">
        <is>
          <t>Group</t>
        </is>
      </c>
      <c r="I4" s="4" t="inlineStr">
        <is>
          <t>Confidence</t>
        </is>
      </c>
      <c r="J4" s="4" t="inlineStr">
        <is>
          <t>Note</t>
        </is>
      </c>
    </row>
    <row r="5">
      <c r="H5">
        <f>IFERROR(INDEX(Categories!$A$5:$A$93,MATCH(G5,Categories!$B$5:$B$93,0)),"")</f>
        <v/>
      </c>
    </row>
    <row r="6">
      <c r="H6">
        <f>IFERROR(INDEX(Categories!$A$5:$A$93,MATCH(G6,Categories!$B$5:$B$93,0)),"")</f>
        <v/>
      </c>
    </row>
    <row r="7">
      <c r="H7">
        <f>IFERROR(INDEX(Categories!$A$5:$A$93,MATCH(G7,Categories!$B$5:$B$93,0)),"")</f>
        <v/>
      </c>
    </row>
    <row r="8">
      <c r="H8">
        <f>IFERROR(INDEX(Categories!$A$5:$A$93,MATCH(G8,Categories!$B$5:$B$93,0)),"")</f>
        <v/>
      </c>
    </row>
    <row r="9">
      <c r="H9">
        <f>IFERROR(INDEX(Categories!$A$5:$A$93,MATCH(G9,Categories!$B$5:$B$93,0)),"")</f>
        <v/>
      </c>
    </row>
    <row r="10">
      <c r="H10">
        <f>IFERROR(INDEX(Categories!$A$5:$A$93,MATCH(G10,Categories!$B$5:$B$93,0)),"")</f>
        <v/>
      </c>
    </row>
    <row r="11">
      <c r="H11">
        <f>IFERROR(INDEX(Categories!$A$5:$A$93,MATCH(G11,Categories!$B$5:$B$93,0)),"")</f>
        <v/>
      </c>
    </row>
    <row r="12">
      <c r="H12">
        <f>IFERROR(INDEX(Categories!$A$5:$A$93,MATCH(G12,Categories!$B$5:$B$93,0)),"")</f>
        <v/>
      </c>
    </row>
    <row r="13">
      <c r="H13">
        <f>IFERROR(INDEX(Categories!$A$5:$A$93,MATCH(G13,Categories!$B$5:$B$93,0)),"")</f>
        <v/>
      </c>
    </row>
    <row r="14">
      <c r="H14">
        <f>IFERROR(INDEX(Categories!$A$5:$A$93,MATCH(G14,Categories!$B$5:$B$93,0)),"")</f>
        <v/>
      </c>
    </row>
    <row r="15">
      <c r="H15">
        <f>IFERROR(INDEX(Categories!$A$5:$A$93,MATCH(G15,Categories!$B$5:$B$93,0)),"")</f>
        <v/>
      </c>
    </row>
    <row r="16">
      <c r="H16">
        <f>IFERROR(INDEX(Categories!$A$5:$A$93,MATCH(G16,Categories!$B$5:$B$93,0)),"")</f>
        <v/>
      </c>
    </row>
    <row r="17">
      <c r="H17">
        <f>IFERROR(INDEX(Categories!$A$5:$A$93,MATCH(G17,Categories!$B$5:$B$93,0)),"")</f>
        <v/>
      </c>
    </row>
    <row r="18">
      <c r="H18">
        <f>IFERROR(INDEX(Categories!$A$5:$A$93,MATCH(G18,Categories!$B$5:$B$93,0)),"")</f>
        <v/>
      </c>
    </row>
    <row r="19">
      <c r="H19">
        <f>IFERROR(INDEX(Categories!$A$5:$A$93,MATCH(G19,Categories!$B$5:$B$93,0)),"")</f>
        <v/>
      </c>
    </row>
    <row r="20">
      <c r="H20">
        <f>IFERROR(INDEX(Categories!$A$5:$A$93,MATCH(G20,Categories!$B$5:$B$93,0)),"")</f>
        <v/>
      </c>
    </row>
    <row r="21">
      <c r="H21">
        <f>IFERROR(INDEX(Categories!$A$5:$A$93,MATCH(G21,Categories!$B$5:$B$93,0)),"")</f>
        <v/>
      </c>
    </row>
    <row r="22">
      <c r="H22">
        <f>IFERROR(INDEX(Categories!$A$5:$A$93,MATCH(G22,Categories!$B$5:$B$93,0)),"")</f>
        <v/>
      </c>
    </row>
    <row r="23">
      <c r="H23">
        <f>IFERROR(INDEX(Categories!$A$5:$A$93,MATCH(G23,Categories!$B$5:$B$93,0)),"")</f>
        <v/>
      </c>
    </row>
    <row r="24">
      <c r="H24">
        <f>IFERROR(INDEX(Categories!$A$5:$A$93,MATCH(G24,Categories!$B$5:$B$93,0)),"")</f>
        <v/>
      </c>
    </row>
    <row r="25">
      <c r="H25">
        <f>IFERROR(INDEX(Categories!$A$5:$A$93,MATCH(G25,Categories!$B$5:$B$93,0)),"")</f>
        <v/>
      </c>
    </row>
    <row r="26">
      <c r="H26">
        <f>IFERROR(INDEX(Categories!$A$5:$A$93,MATCH(G26,Categories!$B$5:$B$93,0)),"")</f>
        <v/>
      </c>
    </row>
    <row r="27">
      <c r="H27">
        <f>IFERROR(INDEX(Categories!$A$5:$A$93,MATCH(G27,Categories!$B$5:$B$93,0)),"")</f>
        <v/>
      </c>
    </row>
    <row r="28">
      <c r="H28">
        <f>IFERROR(INDEX(Categories!$A$5:$A$93,MATCH(G28,Categories!$B$5:$B$93,0)),"")</f>
        <v/>
      </c>
    </row>
    <row r="29">
      <c r="H29">
        <f>IFERROR(INDEX(Categories!$A$5:$A$93,MATCH(G29,Categories!$B$5:$B$93,0)),"")</f>
        <v/>
      </c>
    </row>
    <row r="30">
      <c r="H30">
        <f>IFERROR(INDEX(Categories!$A$5:$A$93,MATCH(G30,Categories!$B$5:$B$93,0)),"")</f>
        <v/>
      </c>
    </row>
    <row r="31">
      <c r="H31">
        <f>IFERROR(INDEX(Categories!$A$5:$A$93,MATCH(G31,Categories!$B$5:$B$93,0)),"")</f>
        <v/>
      </c>
    </row>
    <row r="32">
      <c r="H32">
        <f>IFERROR(INDEX(Categories!$A$5:$A$93,MATCH(G32,Categories!$B$5:$B$93,0)),"")</f>
        <v/>
      </c>
    </row>
    <row r="33">
      <c r="H33">
        <f>IFERROR(INDEX(Categories!$A$5:$A$93,MATCH(G33,Categories!$B$5:$B$93,0)),"")</f>
        <v/>
      </c>
    </row>
    <row r="34">
      <c r="H34">
        <f>IFERROR(INDEX(Categories!$A$5:$A$93,MATCH(G34,Categories!$B$5:$B$93,0)),"")</f>
        <v/>
      </c>
    </row>
    <row r="35">
      <c r="H35">
        <f>IFERROR(INDEX(Categories!$A$5:$A$93,MATCH(G35,Categories!$B$5:$B$93,0)),"")</f>
        <v/>
      </c>
    </row>
    <row r="36">
      <c r="H36">
        <f>IFERROR(INDEX(Categories!$A$5:$A$93,MATCH(G36,Categories!$B$5:$B$93,0)),"")</f>
        <v/>
      </c>
    </row>
    <row r="37">
      <c r="H37">
        <f>IFERROR(INDEX(Categories!$A$5:$A$93,MATCH(G37,Categories!$B$5:$B$93,0)),"")</f>
        <v/>
      </c>
    </row>
    <row r="38">
      <c r="H38">
        <f>IFERROR(INDEX(Categories!$A$5:$A$93,MATCH(G38,Categories!$B$5:$B$93,0)),"")</f>
        <v/>
      </c>
    </row>
    <row r="39">
      <c r="H39">
        <f>IFERROR(INDEX(Categories!$A$5:$A$93,MATCH(G39,Categories!$B$5:$B$93,0)),"")</f>
        <v/>
      </c>
    </row>
    <row r="40">
      <c r="H40">
        <f>IFERROR(INDEX(Categories!$A$5:$A$93,MATCH(G40,Categories!$B$5:$B$93,0)),"")</f>
        <v/>
      </c>
    </row>
    <row r="41">
      <c r="H41">
        <f>IFERROR(INDEX(Categories!$A$5:$A$93,MATCH(G41,Categories!$B$5:$B$93,0)),"")</f>
        <v/>
      </c>
    </row>
    <row r="42">
      <c r="H42">
        <f>IFERROR(INDEX(Categories!$A$5:$A$93,MATCH(G42,Categories!$B$5:$B$93,0)),"")</f>
        <v/>
      </c>
    </row>
    <row r="43">
      <c r="H43">
        <f>IFERROR(INDEX(Categories!$A$5:$A$93,MATCH(G43,Categories!$B$5:$B$93,0)),"")</f>
        <v/>
      </c>
    </row>
    <row r="44">
      <c r="H44">
        <f>IFERROR(INDEX(Categories!$A$5:$A$93,MATCH(G44,Categories!$B$5:$B$93,0)),"")</f>
        <v/>
      </c>
    </row>
    <row r="45">
      <c r="H45">
        <f>IFERROR(INDEX(Categories!$A$5:$A$93,MATCH(G45,Categories!$B$5:$B$93,0)),"")</f>
        <v/>
      </c>
    </row>
    <row r="46">
      <c r="H46">
        <f>IFERROR(INDEX(Categories!$A$5:$A$93,MATCH(G46,Categories!$B$5:$B$93,0)),"")</f>
        <v/>
      </c>
    </row>
    <row r="47">
      <c r="H47">
        <f>IFERROR(INDEX(Categories!$A$5:$A$93,MATCH(G47,Categories!$B$5:$B$93,0)),"")</f>
        <v/>
      </c>
    </row>
    <row r="48">
      <c r="H48">
        <f>IFERROR(INDEX(Categories!$A$5:$A$93,MATCH(G48,Categories!$B$5:$B$93,0)),"")</f>
        <v/>
      </c>
    </row>
    <row r="49">
      <c r="H49">
        <f>IFERROR(INDEX(Categories!$A$5:$A$93,MATCH(G49,Categories!$B$5:$B$93,0)),"")</f>
        <v/>
      </c>
    </row>
    <row r="50">
      <c r="H50">
        <f>IFERROR(INDEX(Categories!$A$5:$A$93,MATCH(G50,Categories!$B$5:$B$93,0)),"")</f>
        <v/>
      </c>
    </row>
    <row r="51">
      <c r="H51">
        <f>IFERROR(INDEX(Categories!$A$5:$A$93,MATCH(G51,Categories!$B$5:$B$93,0)),"")</f>
        <v/>
      </c>
    </row>
    <row r="52">
      <c r="H52">
        <f>IFERROR(INDEX(Categories!$A$5:$A$93,MATCH(G52,Categories!$B$5:$B$93,0)),"")</f>
        <v/>
      </c>
    </row>
    <row r="53">
      <c r="H53">
        <f>IFERROR(INDEX(Categories!$A$5:$A$93,MATCH(G53,Categories!$B$5:$B$93,0)),"")</f>
        <v/>
      </c>
    </row>
    <row r="54">
      <c r="H54">
        <f>IFERROR(INDEX(Categories!$A$5:$A$93,MATCH(G54,Categories!$B$5:$B$93,0)),"")</f>
        <v/>
      </c>
    </row>
    <row r="55">
      <c r="H55">
        <f>IFERROR(INDEX(Categories!$A$5:$A$93,MATCH(G55,Categories!$B$5:$B$93,0)),"")</f>
        <v/>
      </c>
    </row>
    <row r="56">
      <c r="H56">
        <f>IFERROR(INDEX(Categories!$A$5:$A$93,MATCH(G56,Categories!$B$5:$B$93,0)),"")</f>
        <v/>
      </c>
    </row>
    <row r="57">
      <c r="H57">
        <f>IFERROR(INDEX(Categories!$A$5:$A$93,MATCH(G57,Categories!$B$5:$B$93,0)),"")</f>
        <v/>
      </c>
    </row>
    <row r="58">
      <c r="H58">
        <f>IFERROR(INDEX(Categories!$A$5:$A$93,MATCH(G58,Categories!$B$5:$B$93,0)),"")</f>
        <v/>
      </c>
    </row>
    <row r="59">
      <c r="H59">
        <f>IFERROR(INDEX(Categories!$A$5:$A$93,MATCH(G59,Categories!$B$5:$B$93,0)),"")</f>
        <v/>
      </c>
    </row>
    <row r="60">
      <c r="H60">
        <f>IFERROR(INDEX(Categories!$A$5:$A$93,MATCH(G60,Categories!$B$5:$B$93,0)),"")</f>
        <v/>
      </c>
    </row>
    <row r="61">
      <c r="H61">
        <f>IFERROR(INDEX(Categories!$A$5:$A$93,MATCH(G61,Categories!$B$5:$B$93,0)),"")</f>
        <v/>
      </c>
    </row>
    <row r="62">
      <c r="H62">
        <f>IFERROR(INDEX(Categories!$A$5:$A$93,MATCH(G62,Categories!$B$5:$B$93,0)),"")</f>
        <v/>
      </c>
    </row>
    <row r="63">
      <c r="H63">
        <f>IFERROR(INDEX(Categories!$A$5:$A$93,MATCH(G63,Categories!$B$5:$B$93,0)),"")</f>
        <v/>
      </c>
    </row>
    <row r="64">
      <c r="H64">
        <f>IFERROR(INDEX(Categories!$A$5:$A$93,MATCH(G64,Categories!$B$5:$B$93,0)),"")</f>
        <v/>
      </c>
    </row>
    <row r="65">
      <c r="H65">
        <f>IFERROR(INDEX(Categories!$A$5:$A$93,MATCH(G65,Categories!$B$5:$B$93,0)),"")</f>
        <v/>
      </c>
    </row>
    <row r="66">
      <c r="H66">
        <f>IFERROR(INDEX(Categories!$A$5:$A$93,MATCH(G66,Categories!$B$5:$B$93,0)),"")</f>
        <v/>
      </c>
    </row>
    <row r="67">
      <c r="H67">
        <f>IFERROR(INDEX(Categories!$A$5:$A$93,MATCH(G67,Categories!$B$5:$B$93,0)),"")</f>
        <v/>
      </c>
    </row>
    <row r="68">
      <c r="H68">
        <f>IFERROR(INDEX(Categories!$A$5:$A$93,MATCH(G68,Categories!$B$5:$B$93,0)),"")</f>
        <v/>
      </c>
    </row>
    <row r="69">
      <c r="H69">
        <f>IFERROR(INDEX(Categories!$A$5:$A$93,MATCH(G69,Categories!$B$5:$B$93,0)),"")</f>
        <v/>
      </c>
    </row>
    <row r="70">
      <c r="H70">
        <f>IFERROR(INDEX(Categories!$A$5:$A$93,MATCH(G70,Categories!$B$5:$B$93,0)),"")</f>
        <v/>
      </c>
    </row>
    <row r="71">
      <c r="H71">
        <f>IFERROR(INDEX(Categories!$A$5:$A$93,MATCH(G71,Categories!$B$5:$B$93,0)),"")</f>
        <v/>
      </c>
    </row>
    <row r="72">
      <c r="H72">
        <f>IFERROR(INDEX(Categories!$A$5:$A$93,MATCH(G72,Categories!$B$5:$B$93,0)),"")</f>
        <v/>
      </c>
    </row>
    <row r="73">
      <c r="H73">
        <f>IFERROR(INDEX(Categories!$A$5:$A$93,MATCH(G73,Categories!$B$5:$B$93,0)),"")</f>
        <v/>
      </c>
    </row>
    <row r="74">
      <c r="H74">
        <f>IFERROR(INDEX(Categories!$A$5:$A$93,MATCH(G74,Categories!$B$5:$B$93,0)),"")</f>
        <v/>
      </c>
    </row>
    <row r="75">
      <c r="H75">
        <f>IFERROR(INDEX(Categories!$A$5:$A$93,MATCH(G75,Categories!$B$5:$B$93,0)),"")</f>
        <v/>
      </c>
    </row>
    <row r="76">
      <c r="H76">
        <f>IFERROR(INDEX(Categories!$A$5:$A$93,MATCH(G76,Categories!$B$5:$B$93,0)),"")</f>
        <v/>
      </c>
    </row>
    <row r="77">
      <c r="H77">
        <f>IFERROR(INDEX(Categories!$A$5:$A$93,MATCH(G77,Categories!$B$5:$B$93,0)),"")</f>
        <v/>
      </c>
    </row>
    <row r="78">
      <c r="H78">
        <f>IFERROR(INDEX(Categories!$A$5:$A$93,MATCH(G78,Categories!$B$5:$B$93,0)),"")</f>
        <v/>
      </c>
    </row>
    <row r="79">
      <c r="H79">
        <f>IFERROR(INDEX(Categories!$A$5:$A$93,MATCH(G79,Categories!$B$5:$B$93,0)),"")</f>
        <v/>
      </c>
    </row>
    <row r="80">
      <c r="H80">
        <f>IFERROR(INDEX(Categories!$A$5:$A$93,MATCH(G80,Categories!$B$5:$B$93,0)),"")</f>
        <v/>
      </c>
    </row>
    <row r="81">
      <c r="H81">
        <f>IFERROR(INDEX(Categories!$A$5:$A$93,MATCH(G81,Categories!$B$5:$B$93,0)),"")</f>
        <v/>
      </c>
    </row>
    <row r="82">
      <c r="H82">
        <f>IFERROR(INDEX(Categories!$A$5:$A$93,MATCH(G82,Categories!$B$5:$B$93,0)),"")</f>
        <v/>
      </c>
    </row>
    <row r="83">
      <c r="H83">
        <f>IFERROR(INDEX(Categories!$A$5:$A$93,MATCH(G83,Categories!$B$5:$B$93,0)),"")</f>
        <v/>
      </c>
    </row>
    <row r="84">
      <c r="H84">
        <f>IFERROR(INDEX(Categories!$A$5:$A$93,MATCH(G84,Categories!$B$5:$B$93,0)),"")</f>
        <v/>
      </c>
    </row>
    <row r="85">
      <c r="H85">
        <f>IFERROR(INDEX(Categories!$A$5:$A$93,MATCH(G85,Categories!$B$5:$B$93,0)),"")</f>
        <v/>
      </c>
    </row>
    <row r="86">
      <c r="H86">
        <f>IFERROR(INDEX(Categories!$A$5:$A$93,MATCH(G86,Categories!$B$5:$B$93,0)),"")</f>
        <v/>
      </c>
    </row>
    <row r="87">
      <c r="H87">
        <f>IFERROR(INDEX(Categories!$A$5:$A$93,MATCH(G87,Categories!$B$5:$B$93,0)),"")</f>
        <v/>
      </c>
    </row>
    <row r="88">
      <c r="H88">
        <f>IFERROR(INDEX(Categories!$A$5:$A$93,MATCH(G88,Categories!$B$5:$B$93,0)),"")</f>
        <v/>
      </c>
    </row>
    <row r="89">
      <c r="H89">
        <f>IFERROR(INDEX(Categories!$A$5:$A$93,MATCH(G89,Categories!$B$5:$B$93,0)),"")</f>
        <v/>
      </c>
    </row>
    <row r="90">
      <c r="H90">
        <f>IFERROR(INDEX(Categories!$A$5:$A$93,MATCH(G90,Categories!$B$5:$B$93,0)),"")</f>
        <v/>
      </c>
    </row>
    <row r="91">
      <c r="H91">
        <f>IFERROR(INDEX(Categories!$A$5:$A$93,MATCH(G91,Categories!$B$5:$B$93,0)),"")</f>
        <v/>
      </c>
    </row>
    <row r="92">
      <c r="H92">
        <f>IFERROR(INDEX(Categories!$A$5:$A$93,MATCH(G92,Categories!$B$5:$B$93,0)),"")</f>
        <v/>
      </c>
    </row>
    <row r="93">
      <c r="H93">
        <f>IFERROR(INDEX(Categories!$A$5:$A$93,MATCH(G93,Categories!$B$5:$B$93,0)),"")</f>
        <v/>
      </c>
    </row>
    <row r="94">
      <c r="H94">
        <f>IFERROR(INDEX(Categories!$A$5:$A$93,MATCH(G94,Categories!$B$5:$B$93,0)),"")</f>
        <v/>
      </c>
    </row>
    <row r="95">
      <c r="H95">
        <f>IFERROR(INDEX(Categories!$A$5:$A$93,MATCH(G95,Categories!$B$5:$B$93,0)),"")</f>
        <v/>
      </c>
    </row>
    <row r="96">
      <c r="H96">
        <f>IFERROR(INDEX(Categories!$A$5:$A$93,MATCH(G96,Categories!$B$5:$B$93,0)),"")</f>
        <v/>
      </c>
    </row>
    <row r="97">
      <c r="H97">
        <f>IFERROR(INDEX(Categories!$A$5:$A$93,MATCH(G97,Categories!$B$5:$B$93,0)),"")</f>
        <v/>
      </c>
    </row>
    <row r="98">
      <c r="H98">
        <f>IFERROR(INDEX(Categories!$A$5:$A$93,MATCH(G98,Categories!$B$5:$B$93,0)),"")</f>
        <v/>
      </c>
    </row>
    <row r="99">
      <c r="H99">
        <f>IFERROR(INDEX(Categories!$A$5:$A$93,MATCH(G99,Categories!$B$5:$B$93,0)),"")</f>
        <v/>
      </c>
    </row>
    <row r="100">
      <c r="H100">
        <f>IFERROR(INDEX(Categories!$A$5:$A$93,MATCH(G100,Categories!$B$5:$B$93,0)),"")</f>
        <v/>
      </c>
    </row>
    <row r="101">
      <c r="H101">
        <f>IFERROR(INDEX(Categories!$A$5:$A$93,MATCH(G101,Categories!$B$5:$B$93,0)),"")</f>
        <v/>
      </c>
    </row>
    <row r="102">
      <c r="H102">
        <f>IFERROR(INDEX(Categories!$A$5:$A$93,MATCH(G102,Categories!$B$5:$B$93,0)),"")</f>
        <v/>
      </c>
    </row>
    <row r="103">
      <c r="H103">
        <f>IFERROR(INDEX(Categories!$A$5:$A$93,MATCH(G103,Categories!$B$5:$B$93,0)),"")</f>
        <v/>
      </c>
    </row>
    <row r="104">
      <c r="H104">
        <f>IFERROR(INDEX(Categories!$A$5:$A$93,MATCH(G104,Categories!$B$5:$B$93,0)),"")</f>
        <v/>
      </c>
    </row>
    <row r="105">
      <c r="H105">
        <f>IFERROR(INDEX(Categories!$A$5:$A$93,MATCH(G105,Categories!$B$5:$B$93,0)),"")</f>
        <v/>
      </c>
    </row>
    <row r="106">
      <c r="H106">
        <f>IFERROR(INDEX(Categories!$A$5:$A$93,MATCH(G106,Categories!$B$5:$B$93,0)),"")</f>
        <v/>
      </c>
    </row>
    <row r="107">
      <c r="H107">
        <f>IFERROR(INDEX(Categories!$A$5:$A$93,MATCH(G107,Categories!$B$5:$B$93,0)),"")</f>
        <v/>
      </c>
    </row>
    <row r="108">
      <c r="H108">
        <f>IFERROR(INDEX(Categories!$A$5:$A$93,MATCH(G108,Categories!$B$5:$B$93,0)),"")</f>
        <v/>
      </c>
    </row>
    <row r="109">
      <c r="H109">
        <f>IFERROR(INDEX(Categories!$A$5:$A$93,MATCH(G109,Categories!$B$5:$B$93,0)),"")</f>
        <v/>
      </c>
    </row>
    <row r="110">
      <c r="H110">
        <f>IFERROR(INDEX(Categories!$A$5:$A$93,MATCH(G110,Categories!$B$5:$B$93,0)),"")</f>
        <v/>
      </c>
    </row>
    <row r="111">
      <c r="H111">
        <f>IFERROR(INDEX(Categories!$A$5:$A$93,MATCH(G111,Categories!$B$5:$B$93,0)),"")</f>
        <v/>
      </c>
    </row>
    <row r="112">
      <c r="H112">
        <f>IFERROR(INDEX(Categories!$A$5:$A$93,MATCH(G112,Categories!$B$5:$B$93,0)),"")</f>
        <v/>
      </c>
    </row>
    <row r="113">
      <c r="H113">
        <f>IFERROR(INDEX(Categories!$A$5:$A$93,MATCH(G113,Categories!$B$5:$B$93,0)),"")</f>
        <v/>
      </c>
    </row>
    <row r="114">
      <c r="H114">
        <f>IFERROR(INDEX(Categories!$A$5:$A$93,MATCH(G114,Categories!$B$5:$B$93,0)),"")</f>
        <v/>
      </c>
    </row>
    <row r="115">
      <c r="H115">
        <f>IFERROR(INDEX(Categories!$A$5:$A$93,MATCH(G115,Categories!$B$5:$B$93,0)),"")</f>
        <v/>
      </c>
    </row>
    <row r="116">
      <c r="H116">
        <f>IFERROR(INDEX(Categories!$A$5:$A$93,MATCH(G116,Categories!$B$5:$B$93,0)),"")</f>
        <v/>
      </c>
    </row>
    <row r="117">
      <c r="H117">
        <f>IFERROR(INDEX(Categories!$A$5:$A$93,MATCH(G117,Categories!$B$5:$B$93,0)),"")</f>
        <v/>
      </c>
    </row>
    <row r="118">
      <c r="H118">
        <f>IFERROR(INDEX(Categories!$A$5:$A$93,MATCH(G118,Categories!$B$5:$B$93,0)),"")</f>
        <v/>
      </c>
    </row>
    <row r="119">
      <c r="H119">
        <f>IFERROR(INDEX(Categories!$A$5:$A$93,MATCH(G119,Categories!$B$5:$B$93,0)),"")</f>
        <v/>
      </c>
    </row>
    <row r="120">
      <c r="H120">
        <f>IFERROR(INDEX(Categories!$A$5:$A$93,MATCH(G120,Categories!$B$5:$B$93,0)),"")</f>
        <v/>
      </c>
    </row>
    <row r="121">
      <c r="H121">
        <f>IFERROR(INDEX(Categories!$A$5:$A$93,MATCH(G121,Categories!$B$5:$B$93,0)),"")</f>
        <v/>
      </c>
    </row>
    <row r="122">
      <c r="H122">
        <f>IFERROR(INDEX(Categories!$A$5:$A$93,MATCH(G122,Categories!$B$5:$B$93,0)),"")</f>
        <v/>
      </c>
    </row>
    <row r="123">
      <c r="H123">
        <f>IFERROR(INDEX(Categories!$A$5:$A$93,MATCH(G123,Categories!$B$5:$B$93,0)),"")</f>
        <v/>
      </c>
    </row>
    <row r="124">
      <c r="H124">
        <f>IFERROR(INDEX(Categories!$A$5:$A$93,MATCH(G124,Categories!$B$5:$B$93,0)),"")</f>
        <v/>
      </c>
    </row>
    <row r="125">
      <c r="H125">
        <f>IFERROR(INDEX(Categories!$A$5:$A$93,MATCH(G125,Categories!$B$5:$B$93,0)),"")</f>
        <v/>
      </c>
    </row>
    <row r="126">
      <c r="H126">
        <f>IFERROR(INDEX(Categories!$A$5:$A$93,MATCH(G126,Categories!$B$5:$B$93,0)),"")</f>
        <v/>
      </c>
    </row>
    <row r="127">
      <c r="H127">
        <f>IFERROR(INDEX(Categories!$A$5:$A$93,MATCH(G127,Categories!$B$5:$B$93,0)),"")</f>
        <v/>
      </c>
    </row>
    <row r="128">
      <c r="H128">
        <f>IFERROR(INDEX(Categories!$A$5:$A$93,MATCH(G128,Categories!$B$5:$B$93,0)),"")</f>
        <v/>
      </c>
    </row>
    <row r="129">
      <c r="H129">
        <f>IFERROR(INDEX(Categories!$A$5:$A$93,MATCH(G129,Categories!$B$5:$B$93,0)),"")</f>
        <v/>
      </c>
    </row>
    <row r="130">
      <c r="H130">
        <f>IFERROR(INDEX(Categories!$A$5:$A$93,MATCH(G130,Categories!$B$5:$B$93,0)),"")</f>
        <v/>
      </c>
    </row>
    <row r="131">
      <c r="H131">
        <f>IFERROR(INDEX(Categories!$A$5:$A$93,MATCH(G131,Categories!$B$5:$B$93,0)),"")</f>
        <v/>
      </c>
    </row>
    <row r="132">
      <c r="H132">
        <f>IFERROR(INDEX(Categories!$A$5:$A$93,MATCH(G132,Categories!$B$5:$B$93,0)),"")</f>
        <v/>
      </c>
    </row>
    <row r="133">
      <c r="H133">
        <f>IFERROR(INDEX(Categories!$A$5:$A$93,MATCH(G133,Categories!$B$5:$B$93,0)),"")</f>
        <v/>
      </c>
    </row>
    <row r="134">
      <c r="H134">
        <f>IFERROR(INDEX(Categories!$A$5:$A$93,MATCH(G134,Categories!$B$5:$B$93,0)),"")</f>
        <v/>
      </c>
    </row>
    <row r="135">
      <c r="H135">
        <f>IFERROR(INDEX(Categories!$A$5:$A$93,MATCH(G135,Categories!$B$5:$B$93,0)),"")</f>
        <v/>
      </c>
    </row>
    <row r="136">
      <c r="H136">
        <f>IFERROR(INDEX(Categories!$A$5:$A$93,MATCH(G136,Categories!$B$5:$B$93,0)),"")</f>
        <v/>
      </c>
    </row>
    <row r="137">
      <c r="H137">
        <f>IFERROR(INDEX(Categories!$A$5:$A$93,MATCH(G137,Categories!$B$5:$B$93,0)),"")</f>
        <v/>
      </c>
    </row>
    <row r="138">
      <c r="H138">
        <f>IFERROR(INDEX(Categories!$A$5:$A$93,MATCH(G138,Categories!$B$5:$B$93,0)),"")</f>
        <v/>
      </c>
    </row>
    <row r="139">
      <c r="H139">
        <f>IFERROR(INDEX(Categories!$A$5:$A$93,MATCH(G139,Categories!$B$5:$B$93,0)),"")</f>
        <v/>
      </c>
    </row>
    <row r="140">
      <c r="H140">
        <f>IFERROR(INDEX(Categories!$A$5:$A$93,MATCH(G140,Categories!$B$5:$B$93,0)),"")</f>
        <v/>
      </c>
    </row>
    <row r="141">
      <c r="H141">
        <f>IFERROR(INDEX(Categories!$A$5:$A$93,MATCH(G141,Categories!$B$5:$B$93,0)),"")</f>
        <v/>
      </c>
    </row>
    <row r="142">
      <c r="H142">
        <f>IFERROR(INDEX(Categories!$A$5:$A$93,MATCH(G142,Categories!$B$5:$B$93,0)),"")</f>
        <v/>
      </c>
    </row>
    <row r="143">
      <c r="H143">
        <f>IFERROR(INDEX(Categories!$A$5:$A$93,MATCH(G143,Categories!$B$5:$B$93,0)),"")</f>
        <v/>
      </c>
    </row>
    <row r="144">
      <c r="H144">
        <f>IFERROR(INDEX(Categories!$A$5:$A$93,MATCH(G144,Categories!$B$5:$B$93,0)),"")</f>
        <v/>
      </c>
    </row>
    <row r="145">
      <c r="H145">
        <f>IFERROR(INDEX(Categories!$A$5:$A$93,MATCH(G145,Categories!$B$5:$B$93,0)),"")</f>
        <v/>
      </c>
    </row>
    <row r="146">
      <c r="H146">
        <f>IFERROR(INDEX(Categories!$A$5:$A$93,MATCH(G146,Categories!$B$5:$B$93,0)),"")</f>
        <v/>
      </c>
    </row>
    <row r="147">
      <c r="H147">
        <f>IFERROR(INDEX(Categories!$A$5:$A$93,MATCH(G147,Categories!$B$5:$B$93,0)),"")</f>
        <v/>
      </c>
    </row>
    <row r="148">
      <c r="H148">
        <f>IFERROR(INDEX(Categories!$A$5:$A$93,MATCH(G148,Categories!$B$5:$B$93,0)),"")</f>
        <v/>
      </c>
    </row>
    <row r="149">
      <c r="H149">
        <f>IFERROR(INDEX(Categories!$A$5:$A$93,MATCH(G149,Categories!$B$5:$B$93,0)),"")</f>
        <v/>
      </c>
    </row>
    <row r="150">
      <c r="H150">
        <f>IFERROR(INDEX(Categories!$A$5:$A$93,MATCH(G150,Categories!$B$5:$B$93,0)),"")</f>
        <v/>
      </c>
    </row>
    <row r="151">
      <c r="H151">
        <f>IFERROR(INDEX(Categories!$A$5:$A$93,MATCH(G151,Categories!$B$5:$B$93,0)),"")</f>
        <v/>
      </c>
    </row>
    <row r="152">
      <c r="H152">
        <f>IFERROR(INDEX(Categories!$A$5:$A$93,MATCH(G152,Categories!$B$5:$B$93,0)),"")</f>
        <v/>
      </c>
    </row>
    <row r="153">
      <c r="H153">
        <f>IFERROR(INDEX(Categories!$A$5:$A$93,MATCH(G153,Categories!$B$5:$B$93,0)),"")</f>
        <v/>
      </c>
    </row>
    <row r="154">
      <c r="H154">
        <f>IFERROR(INDEX(Categories!$A$5:$A$93,MATCH(G154,Categories!$B$5:$B$93,0)),"")</f>
        <v/>
      </c>
    </row>
    <row r="155">
      <c r="H155">
        <f>IFERROR(INDEX(Categories!$A$5:$A$93,MATCH(G155,Categories!$B$5:$B$93,0)),"")</f>
        <v/>
      </c>
    </row>
    <row r="156">
      <c r="H156">
        <f>IFERROR(INDEX(Categories!$A$5:$A$93,MATCH(G156,Categories!$B$5:$B$93,0)),"")</f>
        <v/>
      </c>
    </row>
    <row r="157">
      <c r="H157">
        <f>IFERROR(INDEX(Categories!$A$5:$A$93,MATCH(G157,Categories!$B$5:$B$93,0)),"")</f>
        <v/>
      </c>
    </row>
    <row r="158">
      <c r="H158">
        <f>IFERROR(INDEX(Categories!$A$5:$A$93,MATCH(G158,Categories!$B$5:$B$93,0)),"")</f>
        <v/>
      </c>
    </row>
    <row r="159">
      <c r="H159">
        <f>IFERROR(INDEX(Categories!$A$5:$A$93,MATCH(G159,Categories!$B$5:$B$93,0)),"")</f>
        <v/>
      </c>
    </row>
    <row r="160">
      <c r="H160">
        <f>IFERROR(INDEX(Categories!$A$5:$A$93,MATCH(G160,Categories!$B$5:$B$93,0)),"")</f>
        <v/>
      </c>
    </row>
    <row r="161">
      <c r="H161">
        <f>IFERROR(INDEX(Categories!$A$5:$A$93,MATCH(G161,Categories!$B$5:$B$93,0)),"")</f>
        <v/>
      </c>
    </row>
    <row r="162">
      <c r="H162">
        <f>IFERROR(INDEX(Categories!$A$5:$A$93,MATCH(G162,Categories!$B$5:$B$93,0)),"")</f>
        <v/>
      </c>
    </row>
    <row r="163">
      <c r="H163">
        <f>IFERROR(INDEX(Categories!$A$5:$A$93,MATCH(G163,Categories!$B$5:$B$93,0)),"")</f>
        <v/>
      </c>
    </row>
    <row r="164">
      <c r="H164">
        <f>IFERROR(INDEX(Categories!$A$5:$A$93,MATCH(G164,Categories!$B$5:$B$93,0)),"")</f>
        <v/>
      </c>
    </row>
    <row r="165">
      <c r="H165">
        <f>IFERROR(INDEX(Categories!$A$5:$A$93,MATCH(G165,Categories!$B$5:$B$93,0)),"")</f>
        <v/>
      </c>
    </row>
    <row r="166">
      <c r="H166">
        <f>IFERROR(INDEX(Categories!$A$5:$A$93,MATCH(G166,Categories!$B$5:$B$93,0)),"")</f>
        <v/>
      </c>
    </row>
    <row r="167">
      <c r="H167">
        <f>IFERROR(INDEX(Categories!$A$5:$A$93,MATCH(G167,Categories!$B$5:$B$93,0)),"")</f>
        <v/>
      </c>
    </row>
    <row r="168">
      <c r="H168">
        <f>IFERROR(INDEX(Categories!$A$5:$A$93,MATCH(G168,Categories!$B$5:$B$93,0)),"")</f>
        <v/>
      </c>
    </row>
    <row r="169">
      <c r="H169">
        <f>IFERROR(INDEX(Categories!$A$5:$A$93,MATCH(G169,Categories!$B$5:$B$93,0)),"")</f>
        <v/>
      </c>
    </row>
    <row r="170">
      <c r="H170">
        <f>IFERROR(INDEX(Categories!$A$5:$A$93,MATCH(G170,Categories!$B$5:$B$93,0)),"")</f>
        <v/>
      </c>
    </row>
    <row r="171">
      <c r="H171">
        <f>IFERROR(INDEX(Categories!$A$5:$A$93,MATCH(G171,Categories!$B$5:$B$93,0)),"")</f>
        <v/>
      </c>
    </row>
    <row r="172">
      <c r="H172">
        <f>IFERROR(INDEX(Categories!$A$5:$A$93,MATCH(G172,Categories!$B$5:$B$93,0)),"")</f>
        <v/>
      </c>
    </row>
    <row r="173">
      <c r="H173">
        <f>IFERROR(INDEX(Categories!$A$5:$A$93,MATCH(G173,Categories!$B$5:$B$93,0)),"")</f>
        <v/>
      </c>
    </row>
    <row r="174">
      <c r="H174">
        <f>IFERROR(INDEX(Categories!$A$5:$A$93,MATCH(G174,Categories!$B$5:$B$93,0)),"")</f>
        <v/>
      </c>
    </row>
    <row r="175">
      <c r="H175">
        <f>IFERROR(INDEX(Categories!$A$5:$A$93,MATCH(G175,Categories!$B$5:$B$93,0)),"")</f>
        <v/>
      </c>
    </row>
    <row r="176">
      <c r="H176">
        <f>IFERROR(INDEX(Categories!$A$5:$A$93,MATCH(G176,Categories!$B$5:$B$93,0)),"")</f>
        <v/>
      </c>
    </row>
    <row r="177">
      <c r="H177">
        <f>IFERROR(INDEX(Categories!$A$5:$A$93,MATCH(G177,Categories!$B$5:$B$93,0)),"")</f>
        <v/>
      </c>
    </row>
    <row r="178">
      <c r="H178">
        <f>IFERROR(INDEX(Categories!$A$5:$A$93,MATCH(G178,Categories!$B$5:$B$93,0)),"")</f>
        <v/>
      </c>
    </row>
    <row r="179">
      <c r="H179">
        <f>IFERROR(INDEX(Categories!$A$5:$A$93,MATCH(G179,Categories!$B$5:$B$93,0)),"")</f>
        <v/>
      </c>
    </row>
    <row r="180">
      <c r="H180">
        <f>IFERROR(INDEX(Categories!$A$5:$A$93,MATCH(G180,Categories!$B$5:$B$93,0)),"")</f>
        <v/>
      </c>
    </row>
    <row r="181">
      <c r="H181">
        <f>IFERROR(INDEX(Categories!$A$5:$A$93,MATCH(G181,Categories!$B$5:$B$93,0)),"")</f>
        <v/>
      </c>
    </row>
    <row r="182">
      <c r="H182">
        <f>IFERROR(INDEX(Categories!$A$5:$A$93,MATCH(G182,Categories!$B$5:$B$93,0)),"")</f>
        <v/>
      </c>
    </row>
    <row r="183">
      <c r="H183">
        <f>IFERROR(INDEX(Categories!$A$5:$A$93,MATCH(G183,Categories!$B$5:$B$93,0)),"")</f>
        <v/>
      </c>
    </row>
    <row r="184">
      <c r="H184">
        <f>IFERROR(INDEX(Categories!$A$5:$A$93,MATCH(G184,Categories!$B$5:$B$93,0)),"")</f>
        <v/>
      </c>
    </row>
    <row r="185">
      <c r="H185">
        <f>IFERROR(INDEX(Categories!$A$5:$A$93,MATCH(G185,Categories!$B$5:$B$93,0)),"")</f>
        <v/>
      </c>
    </row>
    <row r="186">
      <c r="H186">
        <f>IFERROR(INDEX(Categories!$A$5:$A$93,MATCH(G186,Categories!$B$5:$B$93,0)),"")</f>
        <v/>
      </c>
    </row>
    <row r="187">
      <c r="H187">
        <f>IFERROR(INDEX(Categories!$A$5:$A$93,MATCH(G187,Categories!$B$5:$B$93,0)),"")</f>
        <v/>
      </c>
    </row>
    <row r="188">
      <c r="H188">
        <f>IFERROR(INDEX(Categories!$A$5:$A$93,MATCH(G188,Categories!$B$5:$B$93,0)),"")</f>
        <v/>
      </c>
    </row>
    <row r="189">
      <c r="H189">
        <f>IFERROR(INDEX(Categories!$A$5:$A$93,MATCH(G189,Categories!$B$5:$B$93,0)),"")</f>
        <v/>
      </c>
    </row>
    <row r="190">
      <c r="H190">
        <f>IFERROR(INDEX(Categories!$A$5:$A$93,MATCH(G190,Categories!$B$5:$B$93,0)),"")</f>
        <v/>
      </c>
    </row>
    <row r="191">
      <c r="H191">
        <f>IFERROR(INDEX(Categories!$A$5:$A$93,MATCH(G191,Categories!$B$5:$B$93,0)),"")</f>
        <v/>
      </c>
    </row>
    <row r="192">
      <c r="H192">
        <f>IFERROR(INDEX(Categories!$A$5:$A$93,MATCH(G192,Categories!$B$5:$B$93,0)),"")</f>
        <v/>
      </c>
    </row>
    <row r="193">
      <c r="H193">
        <f>IFERROR(INDEX(Categories!$A$5:$A$93,MATCH(G193,Categories!$B$5:$B$93,0)),"")</f>
        <v/>
      </c>
    </row>
    <row r="194">
      <c r="H194">
        <f>IFERROR(INDEX(Categories!$A$5:$A$93,MATCH(G194,Categories!$B$5:$B$93,0)),"")</f>
        <v/>
      </c>
    </row>
    <row r="195">
      <c r="H195">
        <f>IFERROR(INDEX(Categories!$A$5:$A$93,MATCH(G195,Categories!$B$5:$B$93,0)),"")</f>
        <v/>
      </c>
    </row>
    <row r="196">
      <c r="H196">
        <f>IFERROR(INDEX(Categories!$A$5:$A$93,MATCH(G196,Categories!$B$5:$B$93,0)),"")</f>
        <v/>
      </c>
    </row>
    <row r="197">
      <c r="H197">
        <f>IFERROR(INDEX(Categories!$A$5:$A$93,MATCH(G197,Categories!$B$5:$B$93,0)),"")</f>
        <v/>
      </c>
    </row>
    <row r="198">
      <c r="H198">
        <f>IFERROR(INDEX(Categories!$A$5:$A$93,MATCH(G198,Categories!$B$5:$B$93,0)),"")</f>
        <v/>
      </c>
    </row>
    <row r="199">
      <c r="H199">
        <f>IFERROR(INDEX(Categories!$A$5:$A$93,MATCH(G199,Categories!$B$5:$B$93,0)),"")</f>
        <v/>
      </c>
    </row>
    <row r="200">
      <c r="H200">
        <f>IFERROR(INDEX(Categories!$A$5:$A$93,MATCH(G200,Categories!$B$5:$B$93,0)),"")</f>
        <v/>
      </c>
    </row>
    <row r="201">
      <c r="H201">
        <f>IFERROR(INDEX(Categories!$A$5:$A$93,MATCH(G201,Categories!$B$5:$B$93,0)),"")</f>
        <v/>
      </c>
    </row>
    <row r="202">
      <c r="H202">
        <f>IFERROR(INDEX(Categories!$A$5:$A$93,MATCH(G202,Categories!$B$5:$B$93,0)),"")</f>
        <v/>
      </c>
    </row>
    <row r="203">
      <c r="H203">
        <f>IFERROR(INDEX(Categories!$A$5:$A$93,MATCH(G203,Categories!$B$5:$B$93,0)),"")</f>
        <v/>
      </c>
    </row>
    <row r="204">
      <c r="H204">
        <f>IFERROR(INDEX(Categories!$A$5:$A$93,MATCH(G204,Categories!$B$5:$B$93,0)),"")</f>
        <v/>
      </c>
    </row>
    <row r="205">
      <c r="H205">
        <f>IFERROR(INDEX(Categories!$A$5:$A$93,MATCH(G205,Categories!$B$5:$B$93,0)),"")</f>
        <v/>
      </c>
    </row>
    <row r="206">
      <c r="H206">
        <f>IFERROR(INDEX(Categories!$A$5:$A$93,MATCH(G206,Categories!$B$5:$B$93,0)),"")</f>
        <v/>
      </c>
    </row>
    <row r="207">
      <c r="H207">
        <f>IFERROR(INDEX(Categories!$A$5:$A$93,MATCH(G207,Categories!$B$5:$B$93,0)),"")</f>
        <v/>
      </c>
    </row>
    <row r="208">
      <c r="H208">
        <f>IFERROR(INDEX(Categories!$A$5:$A$93,MATCH(G208,Categories!$B$5:$B$93,0)),"")</f>
        <v/>
      </c>
    </row>
    <row r="209">
      <c r="H209">
        <f>IFERROR(INDEX(Categories!$A$5:$A$93,MATCH(G209,Categories!$B$5:$B$93,0)),"")</f>
        <v/>
      </c>
    </row>
    <row r="210">
      <c r="H210">
        <f>IFERROR(INDEX(Categories!$A$5:$A$93,MATCH(G210,Categories!$B$5:$B$93,0)),"")</f>
        <v/>
      </c>
    </row>
    <row r="211">
      <c r="H211">
        <f>IFERROR(INDEX(Categories!$A$5:$A$93,MATCH(G211,Categories!$B$5:$B$93,0)),"")</f>
        <v/>
      </c>
    </row>
    <row r="212">
      <c r="H212">
        <f>IFERROR(INDEX(Categories!$A$5:$A$93,MATCH(G212,Categories!$B$5:$B$93,0)),"")</f>
        <v/>
      </c>
    </row>
    <row r="213">
      <c r="H213">
        <f>IFERROR(INDEX(Categories!$A$5:$A$93,MATCH(G213,Categories!$B$5:$B$93,0)),"")</f>
        <v/>
      </c>
    </row>
    <row r="214">
      <c r="H214">
        <f>IFERROR(INDEX(Categories!$A$5:$A$93,MATCH(G214,Categories!$B$5:$B$93,0)),"")</f>
        <v/>
      </c>
    </row>
    <row r="215">
      <c r="H215">
        <f>IFERROR(INDEX(Categories!$A$5:$A$93,MATCH(G215,Categories!$B$5:$B$93,0)),"")</f>
        <v/>
      </c>
    </row>
    <row r="216">
      <c r="H216">
        <f>IFERROR(INDEX(Categories!$A$5:$A$93,MATCH(G216,Categories!$B$5:$B$93,0)),"")</f>
        <v/>
      </c>
    </row>
    <row r="217">
      <c r="H217">
        <f>IFERROR(INDEX(Categories!$A$5:$A$93,MATCH(G217,Categories!$B$5:$B$93,0)),"")</f>
        <v/>
      </c>
    </row>
    <row r="218">
      <c r="H218">
        <f>IFERROR(INDEX(Categories!$A$5:$A$93,MATCH(G218,Categories!$B$5:$B$93,0)),"")</f>
        <v/>
      </c>
    </row>
    <row r="219">
      <c r="H219">
        <f>IFERROR(INDEX(Categories!$A$5:$A$93,MATCH(G219,Categories!$B$5:$B$93,0)),"")</f>
        <v/>
      </c>
    </row>
    <row r="220">
      <c r="H220">
        <f>IFERROR(INDEX(Categories!$A$5:$A$93,MATCH(G220,Categories!$B$5:$B$93,0)),"")</f>
        <v/>
      </c>
    </row>
    <row r="221">
      <c r="H221">
        <f>IFERROR(INDEX(Categories!$A$5:$A$93,MATCH(G221,Categories!$B$5:$B$93,0)),"")</f>
        <v/>
      </c>
    </row>
    <row r="222">
      <c r="H222">
        <f>IFERROR(INDEX(Categories!$A$5:$A$93,MATCH(G222,Categories!$B$5:$B$93,0)),"")</f>
        <v/>
      </c>
    </row>
    <row r="223">
      <c r="H223">
        <f>IFERROR(INDEX(Categories!$A$5:$A$93,MATCH(G223,Categories!$B$5:$B$93,0)),"")</f>
        <v/>
      </c>
    </row>
    <row r="224">
      <c r="H224">
        <f>IFERROR(INDEX(Categories!$A$5:$A$93,MATCH(G224,Categories!$B$5:$B$93,0)),"")</f>
        <v/>
      </c>
    </row>
    <row r="225">
      <c r="H225">
        <f>IFERROR(INDEX(Categories!$A$5:$A$93,MATCH(G225,Categories!$B$5:$B$93,0)),"")</f>
        <v/>
      </c>
    </row>
    <row r="226">
      <c r="H226">
        <f>IFERROR(INDEX(Categories!$A$5:$A$93,MATCH(G226,Categories!$B$5:$B$93,0)),"")</f>
        <v/>
      </c>
    </row>
    <row r="227">
      <c r="H227">
        <f>IFERROR(INDEX(Categories!$A$5:$A$93,MATCH(G227,Categories!$B$5:$B$93,0)),"")</f>
        <v/>
      </c>
    </row>
    <row r="228">
      <c r="H228">
        <f>IFERROR(INDEX(Categories!$A$5:$A$93,MATCH(G228,Categories!$B$5:$B$93,0)),"")</f>
        <v/>
      </c>
    </row>
    <row r="229">
      <c r="H229">
        <f>IFERROR(INDEX(Categories!$A$5:$A$93,MATCH(G229,Categories!$B$5:$B$93,0)),"")</f>
        <v/>
      </c>
    </row>
    <row r="230">
      <c r="H230">
        <f>IFERROR(INDEX(Categories!$A$5:$A$93,MATCH(G230,Categories!$B$5:$B$93,0)),"")</f>
        <v/>
      </c>
    </row>
    <row r="231">
      <c r="H231">
        <f>IFERROR(INDEX(Categories!$A$5:$A$93,MATCH(G231,Categories!$B$5:$B$93,0)),"")</f>
        <v/>
      </c>
    </row>
    <row r="232">
      <c r="H232">
        <f>IFERROR(INDEX(Categories!$A$5:$A$93,MATCH(G232,Categories!$B$5:$B$93,0)),"")</f>
        <v/>
      </c>
    </row>
    <row r="233">
      <c r="H233">
        <f>IFERROR(INDEX(Categories!$A$5:$A$93,MATCH(G233,Categories!$B$5:$B$93,0)),"")</f>
        <v/>
      </c>
    </row>
    <row r="234">
      <c r="H234">
        <f>IFERROR(INDEX(Categories!$A$5:$A$93,MATCH(G234,Categories!$B$5:$B$93,0)),"")</f>
        <v/>
      </c>
    </row>
    <row r="235">
      <c r="H235">
        <f>IFERROR(INDEX(Categories!$A$5:$A$93,MATCH(G235,Categories!$B$5:$B$93,0)),"")</f>
        <v/>
      </c>
    </row>
    <row r="236">
      <c r="H236">
        <f>IFERROR(INDEX(Categories!$A$5:$A$93,MATCH(G236,Categories!$B$5:$B$93,0)),"")</f>
        <v/>
      </c>
    </row>
    <row r="237">
      <c r="H237">
        <f>IFERROR(INDEX(Categories!$A$5:$A$93,MATCH(G237,Categories!$B$5:$B$93,0)),"")</f>
        <v/>
      </c>
    </row>
    <row r="238">
      <c r="H238">
        <f>IFERROR(INDEX(Categories!$A$5:$A$93,MATCH(G238,Categories!$B$5:$B$93,0)),"")</f>
        <v/>
      </c>
    </row>
    <row r="239">
      <c r="H239">
        <f>IFERROR(INDEX(Categories!$A$5:$A$93,MATCH(G239,Categories!$B$5:$B$93,0)),"")</f>
        <v/>
      </c>
    </row>
    <row r="240">
      <c r="H240">
        <f>IFERROR(INDEX(Categories!$A$5:$A$93,MATCH(G240,Categories!$B$5:$B$93,0)),"")</f>
        <v/>
      </c>
    </row>
    <row r="241">
      <c r="H241">
        <f>IFERROR(INDEX(Categories!$A$5:$A$93,MATCH(G241,Categories!$B$5:$B$93,0)),"")</f>
        <v/>
      </c>
    </row>
    <row r="242">
      <c r="H242">
        <f>IFERROR(INDEX(Categories!$A$5:$A$93,MATCH(G242,Categories!$B$5:$B$93,0)),"")</f>
        <v/>
      </c>
    </row>
    <row r="243">
      <c r="H243">
        <f>IFERROR(INDEX(Categories!$A$5:$A$93,MATCH(G243,Categories!$B$5:$B$93,0)),"")</f>
        <v/>
      </c>
    </row>
    <row r="244">
      <c r="H244">
        <f>IFERROR(INDEX(Categories!$A$5:$A$93,MATCH(G244,Categories!$B$5:$B$93,0)),"")</f>
        <v/>
      </c>
    </row>
    <row r="245">
      <c r="H245">
        <f>IFERROR(INDEX(Categories!$A$5:$A$93,MATCH(G245,Categories!$B$5:$B$93,0)),"")</f>
        <v/>
      </c>
    </row>
    <row r="246">
      <c r="H246">
        <f>IFERROR(INDEX(Categories!$A$5:$A$93,MATCH(G246,Categories!$B$5:$B$93,0)),"")</f>
        <v/>
      </c>
    </row>
    <row r="247">
      <c r="H247">
        <f>IFERROR(INDEX(Categories!$A$5:$A$93,MATCH(G247,Categories!$B$5:$B$93,0)),"")</f>
        <v/>
      </c>
    </row>
    <row r="248">
      <c r="H248">
        <f>IFERROR(INDEX(Categories!$A$5:$A$93,MATCH(G248,Categories!$B$5:$B$93,0)),"")</f>
        <v/>
      </c>
    </row>
    <row r="249">
      <c r="H249">
        <f>IFERROR(INDEX(Categories!$A$5:$A$93,MATCH(G249,Categories!$B$5:$B$93,0)),"")</f>
        <v/>
      </c>
    </row>
    <row r="250">
      <c r="H250">
        <f>IFERROR(INDEX(Categories!$A$5:$A$93,MATCH(G250,Categories!$B$5:$B$93,0)),"")</f>
        <v/>
      </c>
    </row>
    <row r="251">
      <c r="H251">
        <f>IFERROR(INDEX(Categories!$A$5:$A$93,MATCH(G251,Categories!$B$5:$B$93,0)),"")</f>
        <v/>
      </c>
    </row>
    <row r="252">
      <c r="H252">
        <f>IFERROR(INDEX(Categories!$A$5:$A$93,MATCH(G252,Categories!$B$5:$B$93,0)),"")</f>
        <v/>
      </c>
    </row>
    <row r="253">
      <c r="H253">
        <f>IFERROR(INDEX(Categories!$A$5:$A$93,MATCH(G253,Categories!$B$5:$B$93,0)),"")</f>
        <v/>
      </c>
    </row>
    <row r="254">
      <c r="H254">
        <f>IFERROR(INDEX(Categories!$A$5:$A$93,MATCH(G254,Categories!$B$5:$B$93,0)),"")</f>
        <v/>
      </c>
    </row>
    <row r="255">
      <c r="H255">
        <f>IFERROR(INDEX(Categories!$A$5:$A$93,MATCH(G255,Categories!$B$5:$B$93,0)),"")</f>
        <v/>
      </c>
    </row>
    <row r="256">
      <c r="H256">
        <f>IFERROR(INDEX(Categories!$A$5:$A$93,MATCH(G256,Categories!$B$5:$B$93,0)),"")</f>
        <v/>
      </c>
    </row>
    <row r="257">
      <c r="H257">
        <f>IFERROR(INDEX(Categories!$A$5:$A$93,MATCH(G257,Categories!$B$5:$B$93,0)),"")</f>
        <v/>
      </c>
    </row>
    <row r="258">
      <c r="H258">
        <f>IFERROR(INDEX(Categories!$A$5:$A$93,MATCH(G258,Categories!$B$5:$B$93,0)),"")</f>
        <v/>
      </c>
    </row>
    <row r="259">
      <c r="H259">
        <f>IFERROR(INDEX(Categories!$A$5:$A$93,MATCH(G259,Categories!$B$5:$B$93,0)),"")</f>
        <v/>
      </c>
    </row>
    <row r="260">
      <c r="H260">
        <f>IFERROR(INDEX(Categories!$A$5:$A$93,MATCH(G260,Categories!$B$5:$B$93,0)),"")</f>
        <v/>
      </c>
    </row>
    <row r="261">
      <c r="H261">
        <f>IFERROR(INDEX(Categories!$A$5:$A$93,MATCH(G261,Categories!$B$5:$B$93,0)),"")</f>
        <v/>
      </c>
    </row>
    <row r="262">
      <c r="H262">
        <f>IFERROR(INDEX(Categories!$A$5:$A$93,MATCH(G262,Categories!$B$5:$B$93,0)),"")</f>
        <v/>
      </c>
    </row>
    <row r="263">
      <c r="H263">
        <f>IFERROR(INDEX(Categories!$A$5:$A$93,MATCH(G263,Categories!$B$5:$B$93,0)),"")</f>
        <v/>
      </c>
    </row>
    <row r="264">
      <c r="H264">
        <f>IFERROR(INDEX(Categories!$A$5:$A$93,MATCH(G264,Categories!$B$5:$B$93,0)),"")</f>
        <v/>
      </c>
    </row>
    <row r="265">
      <c r="H265">
        <f>IFERROR(INDEX(Categories!$A$5:$A$93,MATCH(G265,Categories!$B$5:$B$93,0)),"")</f>
        <v/>
      </c>
    </row>
    <row r="266">
      <c r="H266">
        <f>IFERROR(INDEX(Categories!$A$5:$A$93,MATCH(G266,Categories!$B$5:$B$93,0)),"")</f>
        <v/>
      </c>
    </row>
    <row r="267">
      <c r="H267">
        <f>IFERROR(INDEX(Categories!$A$5:$A$93,MATCH(G267,Categories!$B$5:$B$93,0)),"")</f>
        <v/>
      </c>
    </row>
    <row r="268">
      <c r="H268">
        <f>IFERROR(INDEX(Categories!$A$5:$A$93,MATCH(G268,Categories!$B$5:$B$93,0)),"")</f>
        <v/>
      </c>
    </row>
    <row r="269">
      <c r="H269">
        <f>IFERROR(INDEX(Categories!$A$5:$A$93,MATCH(G269,Categories!$B$5:$B$93,0)),"")</f>
        <v/>
      </c>
    </row>
    <row r="270">
      <c r="H270">
        <f>IFERROR(INDEX(Categories!$A$5:$A$93,MATCH(G270,Categories!$B$5:$B$93,0)),"")</f>
        <v/>
      </c>
    </row>
    <row r="271">
      <c r="H271">
        <f>IFERROR(INDEX(Categories!$A$5:$A$93,MATCH(G271,Categories!$B$5:$B$93,0)),"")</f>
        <v/>
      </c>
    </row>
    <row r="272">
      <c r="H272">
        <f>IFERROR(INDEX(Categories!$A$5:$A$93,MATCH(G272,Categories!$B$5:$B$93,0)),"")</f>
        <v/>
      </c>
    </row>
    <row r="273">
      <c r="H273">
        <f>IFERROR(INDEX(Categories!$A$5:$A$93,MATCH(G273,Categories!$B$5:$B$93,0)),"")</f>
        <v/>
      </c>
    </row>
    <row r="274">
      <c r="H274">
        <f>IFERROR(INDEX(Categories!$A$5:$A$93,MATCH(G274,Categories!$B$5:$B$93,0)),"")</f>
        <v/>
      </c>
    </row>
    <row r="275">
      <c r="H275">
        <f>IFERROR(INDEX(Categories!$A$5:$A$93,MATCH(G275,Categories!$B$5:$B$93,0)),"")</f>
        <v/>
      </c>
    </row>
    <row r="276">
      <c r="H276">
        <f>IFERROR(INDEX(Categories!$A$5:$A$93,MATCH(G276,Categories!$B$5:$B$93,0)),"")</f>
        <v/>
      </c>
    </row>
    <row r="277">
      <c r="H277">
        <f>IFERROR(INDEX(Categories!$A$5:$A$93,MATCH(G277,Categories!$B$5:$B$93,0)),"")</f>
        <v/>
      </c>
    </row>
    <row r="278">
      <c r="H278">
        <f>IFERROR(INDEX(Categories!$A$5:$A$93,MATCH(G278,Categories!$B$5:$B$93,0)),"")</f>
        <v/>
      </c>
    </row>
    <row r="279">
      <c r="H279">
        <f>IFERROR(INDEX(Categories!$A$5:$A$93,MATCH(G279,Categories!$B$5:$B$93,0)),"")</f>
        <v/>
      </c>
    </row>
    <row r="280">
      <c r="H280">
        <f>IFERROR(INDEX(Categories!$A$5:$A$93,MATCH(G280,Categories!$B$5:$B$93,0)),"")</f>
        <v/>
      </c>
    </row>
    <row r="281">
      <c r="H281">
        <f>IFERROR(INDEX(Categories!$A$5:$A$93,MATCH(G281,Categories!$B$5:$B$93,0)),"")</f>
        <v/>
      </c>
    </row>
    <row r="282">
      <c r="H282">
        <f>IFERROR(INDEX(Categories!$A$5:$A$93,MATCH(G282,Categories!$B$5:$B$93,0)),"")</f>
        <v/>
      </c>
    </row>
    <row r="283">
      <c r="H283">
        <f>IFERROR(INDEX(Categories!$A$5:$A$93,MATCH(G283,Categories!$B$5:$B$93,0)),"")</f>
        <v/>
      </c>
    </row>
    <row r="284">
      <c r="H284">
        <f>IFERROR(INDEX(Categories!$A$5:$A$93,MATCH(G284,Categories!$B$5:$B$93,0)),"")</f>
        <v/>
      </c>
    </row>
    <row r="285">
      <c r="H285">
        <f>IFERROR(INDEX(Categories!$A$5:$A$93,MATCH(G285,Categories!$B$5:$B$93,0)),"")</f>
        <v/>
      </c>
    </row>
    <row r="286">
      <c r="H286">
        <f>IFERROR(INDEX(Categories!$A$5:$A$93,MATCH(G286,Categories!$B$5:$B$93,0)),"")</f>
        <v/>
      </c>
    </row>
    <row r="287">
      <c r="H287">
        <f>IFERROR(INDEX(Categories!$A$5:$A$93,MATCH(G287,Categories!$B$5:$B$93,0)),"")</f>
        <v/>
      </c>
    </row>
    <row r="288">
      <c r="H288">
        <f>IFERROR(INDEX(Categories!$A$5:$A$93,MATCH(G288,Categories!$B$5:$B$93,0)),"")</f>
        <v/>
      </c>
    </row>
    <row r="289">
      <c r="H289">
        <f>IFERROR(INDEX(Categories!$A$5:$A$93,MATCH(G289,Categories!$B$5:$B$93,0)),"")</f>
        <v/>
      </c>
    </row>
    <row r="290">
      <c r="H290">
        <f>IFERROR(INDEX(Categories!$A$5:$A$93,MATCH(G290,Categories!$B$5:$B$93,0)),"")</f>
        <v/>
      </c>
    </row>
    <row r="291">
      <c r="H291">
        <f>IFERROR(INDEX(Categories!$A$5:$A$93,MATCH(G291,Categories!$B$5:$B$93,0)),"")</f>
        <v/>
      </c>
    </row>
    <row r="292">
      <c r="H292">
        <f>IFERROR(INDEX(Categories!$A$5:$A$93,MATCH(G292,Categories!$B$5:$B$93,0)),"")</f>
        <v/>
      </c>
    </row>
    <row r="293">
      <c r="H293">
        <f>IFERROR(INDEX(Categories!$A$5:$A$93,MATCH(G293,Categories!$B$5:$B$93,0)),"")</f>
        <v/>
      </c>
    </row>
    <row r="294">
      <c r="H294">
        <f>IFERROR(INDEX(Categories!$A$5:$A$93,MATCH(G294,Categories!$B$5:$B$93,0)),"")</f>
        <v/>
      </c>
    </row>
    <row r="295">
      <c r="H295">
        <f>IFERROR(INDEX(Categories!$A$5:$A$93,MATCH(G295,Categories!$B$5:$B$93,0)),"")</f>
        <v/>
      </c>
    </row>
    <row r="296">
      <c r="H296">
        <f>IFERROR(INDEX(Categories!$A$5:$A$93,MATCH(G296,Categories!$B$5:$B$93,0)),"")</f>
        <v/>
      </c>
    </row>
    <row r="297">
      <c r="H297">
        <f>IFERROR(INDEX(Categories!$A$5:$A$93,MATCH(G297,Categories!$B$5:$B$93,0)),"")</f>
        <v/>
      </c>
    </row>
    <row r="298">
      <c r="H298">
        <f>IFERROR(INDEX(Categories!$A$5:$A$93,MATCH(G298,Categories!$B$5:$B$93,0)),"")</f>
        <v/>
      </c>
    </row>
    <row r="299">
      <c r="H299">
        <f>IFERROR(INDEX(Categories!$A$5:$A$93,MATCH(G299,Categories!$B$5:$B$93,0)),"")</f>
        <v/>
      </c>
    </row>
    <row r="300">
      <c r="H300">
        <f>IFERROR(INDEX(Categories!$A$5:$A$93,MATCH(G300,Categories!$B$5:$B$93,0)),"")</f>
        <v/>
      </c>
    </row>
    <row r="301">
      <c r="H301">
        <f>IFERROR(INDEX(Categories!$A$5:$A$93,MATCH(G301,Categories!$B$5:$B$93,0)),"")</f>
        <v/>
      </c>
    </row>
    <row r="302">
      <c r="H302">
        <f>IFERROR(INDEX(Categories!$A$5:$A$93,MATCH(G302,Categories!$B$5:$B$93,0)),"")</f>
        <v/>
      </c>
    </row>
    <row r="303">
      <c r="H303">
        <f>IFERROR(INDEX(Categories!$A$5:$A$93,MATCH(G303,Categories!$B$5:$B$93,0)),"")</f>
        <v/>
      </c>
    </row>
    <row r="304">
      <c r="H304">
        <f>IFERROR(INDEX(Categories!$A$5:$A$93,MATCH(G304,Categories!$B$5:$B$93,0)),"")</f>
        <v/>
      </c>
    </row>
  </sheetData>
  <autoFilter ref="A4:J5"/>
  <conditionalFormatting sqref="I5:I304">
    <cfRule type="cellIs" priority="1" operator="equal" dxfId="0">
      <formula>"R"</formula>
    </cfRule>
    <cfRule type="cellIs" priority="2" operator="equal" dxfId="1">
      <formula>"D"</formula>
    </cfRule>
    <cfRule type="cellIs" priority="3" operator="equal" dxfId="2">
      <formula>"H"</formula>
    </cfRule>
  </conditionalFormatting>
  <dataValidations count="1">
    <dataValidation sqref="G5:G304" showDropDown="0" showInputMessage="0" showErrorMessage="1" allowBlank="1" error="Pick a category from the dropdown (see the Categories tab for the full list)." type="list">
      <formula1>Categories!$B$5:$B$93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5" customWidth="1" min="3" max="3"/>
    <col width="55" customWidth="1" min="4" max="4"/>
  </cols>
  <sheetData>
    <row r="1">
      <c r="A1" s="1" t="inlineStr">
        <is>
          <t>Open Questions - things I guessed and need you to confirm</t>
        </is>
      </c>
    </row>
    <row r="2">
      <c r="A2" s="2" t="inlineStr">
        <is>
          <t>Answer these and I'll fix the categorization in one pass. Everything else in the tracker already reflects my best-confidence read of your statement.</t>
        </is>
      </c>
    </row>
    <row r="4">
      <c r="A4" s="4" t="inlineStr">
        <is>
          <t>Group</t>
        </is>
      </c>
      <c r="B4" s="4" t="inlineStr">
        <is>
          <t>Item</t>
        </is>
      </c>
      <c r="C4" s="4" t="inlineStr">
        <is>
          <t>What I found</t>
        </is>
      </c>
      <c r="D4" s="4" t="inlineStr">
        <is>
          <t>What I need from you</t>
        </is>
      </c>
    </row>
    <row r="5" ht="45" customHeight="1">
      <c r="A5" s="30" t="inlineStr">
        <is>
          <t>Income</t>
        </is>
      </c>
      <c r="B5" s="31" t="inlineStr">
        <is>
          <t>Chris' pension</t>
        </is>
      </c>
      <c r="C5" s="30" t="inlineStr">
        <is>
          <t>"TEAMSTERS PAYMENTS", ~$4,275, lands on the 3rd of each month.</t>
        </is>
      </c>
      <c r="D5" s="30" t="inlineStr">
        <is>
          <t>Is this Chris' pension? If not, what is it, and which line IS the pension?</t>
        </is>
      </c>
    </row>
    <row r="6" ht="45" customHeight="1">
      <c r="A6" s="30" t="inlineStr">
        <is>
          <t>Income</t>
        </is>
      </c>
      <c r="B6" s="31" t="inlineStr">
        <is>
          <t>Your income from Kristin (COO)</t>
        </is>
      </c>
      <c r="C6" s="30" t="inlineStr">
        <is>
          <t>Nothing in this statement is labeled Kristin or similarly.</t>
        </is>
      </c>
      <c r="D6" s="30" t="inlineStr">
        <is>
          <t>Which deposit is this? A name, company, or approximate $ amount would let me find and tag it.</t>
        </is>
      </c>
    </row>
    <row r="7" ht="45" customHeight="1">
      <c r="A7" s="30" t="inlineStr">
        <is>
          <t>Income</t>
        </is>
      </c>
      <c r="B7" s="31" t="inlineStr">
        <is>
          <t>Key Salary</t>
        </is>
      </c>
      <c r="C7" s="30" t="inlineStr">
        <is>
          <t>"UNITED PARCEL SE PAYROLL", ~$2,275, twice in this statement.</t>
        </is>
      </c>
      <c r="D7" s="30" t="inlineStr">
        <is>
          <t xml:space="preserve">Is this your own UPS paycheck / Key Salary? </t>
        </is>
      </c>
    </row>
    <row r="8" ht="45" customHeight="1">
      <c r="A8" s="30" t="inlineStr">
        <is>
          <t>Debt</t>
        </is>
      </c>
      <c r="B8" s="31" t="inlineStr">
        <is>
          <t>Auto Loan - Honda</t>
        </is>
      </c>
      <c r="C8" s="30" t="inlineStr">
        <is>
          <t>"WestlakeSvcs" (Aug) and "WF PAYMENT" (Jun-Jul) - same two amounts each time, ~$223.53 + ~$276.47, paid together.</t>
        </is>
      </c>
      <c r="D8" s="30" t="inlineStr">
        <is>
          <t>Is this the Honda auto loan (servicer changed from WF to Westlake)? Or a different loan?</t>
        </is>
      </c>
    </row>
    <row r="9" ht="45" customHeight="1">
      <c r="A9" s="30" t="inlineStr">
        <is>
          <t>Debt</t>
        </is>
      </c>
      <c r="B9" s="31" t="inlineStr">
        <is>
          <t>CC - cashback MC</t>
        </is>
      </c>
      <c r="C9" s="30" t="inlineStr">
        <is>
          <t>"Payment to Chase card ending in 1755", $409.50, one time.</t>
        </is>
      </c>
      <c r="D9" s="30" t="inlineStr">
        <is>
          <t>Is this your Chase cashback Mastercard? If you have more than one Chase card, which one?</t>
        </is>
      </c>
    </row>
    <row r="10" ht="45" customHeight="1">
      <c r="A10" s="30" t="inlineStr">
        <is>
          <t>Debt</t>
        </is>
      </c>
      <c r="B10" s="31" t="inlineStr">
        <is>
          <t>CC - Frontier card</t>
        </is>
      </c>
      <c r="C10" s="30" t="inlineStr">
        <is>
          <t>"BARCLAYCARD US CREDITCARD", 4 times, ~$1,099.59 - $2,510 range.</t>
        </is>
      </c>
      <c r="D10" s="30" t="inlineStr">
        <is>
          <t>Confirming this Barclaycard is the Frontier Airlines card and not a different Barclays card.</t>
        </is>
      </c>
    </row>
    <row r="11" ht="45" customHeight="1">
      <c r="A11" s="30" t="inlineStr">
        <is>
          <t>Expenses</t>
        </is>
      </c>
      <c r="B11" s="31" t="inlineStr">
        <is>
          <t>"ALA 0908"</t>
        </is>
      </c>
      <c r="C11" s="30" t="inlineStr">
        <is>
          <t>"Online Payment ... To ALA 0908", $706.36, monthly (recurring).</t>
        </is>
      </c>
      <c r="D11" s="30" t="inlineStr">
        <is>
          <t>What is this? A loan, rent, tuition? None of your categories obviously fit - tell me and I'll add or map it.</t>
        </is>
      </c>
    </row>
    <row r="12" ht="45" customHeight="1">
      <c r="A12" s="30" t="inlineStr">
        <is>
          <t>Transfer</t>
        </is>
      </c>
      <c r="B12" s="31" t="inlineStr">
        <is>
          <t>SoFi / SMBS transfers</t>
        </is>
      </c>
      <c r="C12" s="30" t="inlineStr">
        <is>
          <t>"SoFi Bank TRANSFER CPerez" and "SMBS Account TRANSFER CPerez" - large, $1,000 to $20,065.</t>
        </is>
      </c>
      <c r="D12" s="30" t="inlineStr">
        <is>
          <t>What account is this (savings, investment)? Should I track it as a 4th account alongside Checking/Savings/PayPal?</t>
        </is>
      </c>
    </row>
    <row r="13" ht="45" customHeight="1">
      <c r="A13" s="30" t="inlineStr">
        <is>
          <t>Expenses</t>
        </is>
      </c>
      <c r="B13" s="31" t="inlineStr">
        <is>
          <t>Remittances (Taptap Send, Sendwave, LBC)</t>
        </is>
      </c>
      <c r="C13" s="30" t="inlineStr">
        <is>
          <t>~20 Taptap Send + 8 Sendwave + 1 LBC transactions, varying amounts, recipient not shown.</t>
        </is>
      </c>
      <c r="D13" s="30" t="inlineStr">
        <is>
          <t>Are these all going to Aron, or a mix of Aron / Aron's tuition / others? If a mix, is there a way to tell them apart (e.g. amount, day of month)?</t>
        </is>
      </c>
    </row>
    <row r="14" ht="45" customHeight="1">
      <c r="A14" s="30" t="inlineStr">
        <is>
          <t>Expenses</t>
        </is>
      </c>
      <c r="B14" s="31" t="inlineStr">
        <is>
          <t>Zelle payments</t>
        </is>
      </c>
      <c r="C14" s="30" t="inlineStr">
        <is>
          <t>14+ recurring to/from RHIAN ABIGAIL ALMO, 5 from Katrina T Perez, 4 from Angelynn Flora, plus Dennis Chua, Doris 2, Kyle Kromer, Ivory Janine Morales, Alvin Anthony Alonzo, Maria Bravo, Rose Ann Alonzo, Harold Alvarado, and others.</t>
        </is>
      </c>
      <c r="D14" s="30" t="inlineStr">
        <is>
          <t>Tell me who each of these is (family, helper, etc.) and I'll map recurring ones to a category - e.g. is Gail one of these names under something I haven't matched?</t>
        </is>
      </c>
    </row>
    <row r="15" ht="45" customHeight="1">
      <c r="A15" s="30" t="inlineStr">
        <is>
          <t>Expenses</t>
        </is>
      </c>
      <c r="B15" s="31" t="inlineStr">
        <is>
          <t>Paper checks</t>
        </is>
      </c>
      <c r="C15" s="30" t="inlineStr">
        <is>
          <t>Checks 283-287, 353-358, no payee shown. Amounts: mostly $500, plus $1,800, $2,000, $2,200 x2, $180, and one blank $7,500.</t>
        </is>
      </c>
      <c r="D15" s="30" t="inlineStr">
        <is>
          <t>Who were these written to? The recurring $500 ones in particular - could that be Rent?</t>
        </is>
      </c>
    </row>
    <row r="16" ht="45" customHeight="1">
      <c r="A16" s="30" t="inlineStr">
        <is>
          <t>Debt</t>
        </is>
      </c>
      <c r="B16" s="31" t="inlineStr">
        <is>
          <t>"paypal - pay in 4 Golden Nugget"</t>
        </is>
      </c>
      <c r="C16" s="30" t="inlineStr">
        <is>
          <t>Not found in this statement - only a one-off $51.98 Golden Nugget Hotel charge (looks like Vacation) and generic recurring PayPal Pay-in-4 charges (already mapped to "Paypal pay in 4").</t>
        </is>
      </c>
      <c r="D16" s="30" t="inlineStr">
        <is>
          <t>Is this a specific purchase plan, or should I just fold it into "Paypal pay in 4"?</t>
        </is>
      </c>
    </row>
    <row r="17" ht="45" customHeight="1">
      <c r="A17" s="30" t="inlineStr">
        <is>
          <t>Debt</t>
        </is>
      </c>
      <c r="B17" s="31" t="inlineStr">
        <is>
          <t>CC - Whole foods, CC - cashback MC (if not the Chase card above)</t>
        </is>
      </c>
      <c r="C17" s="30" t="inlineStr">
        <is>
          <t>Not found in this statement.</t>
        </is>
      </c>
      <c r="D17" s="30" t="inlineStr">
        <is>
          <t>These may just not have activity in this particular statement - nothing to do unless you tell me otherwise.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2026-09-11T19:40:26Z</dcterms:created>
  <dcterms:modified xsi:type="dcterms:W3CDTF">2026-09-11T19:40:26Z</dcterms:modified>
</cp:coreProperties>
</file>