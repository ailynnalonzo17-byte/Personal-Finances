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ne Items" sheetId="2" state="visible" r:id="rId4"/>
  </sheets>
  <definedNames>
    <definedName function="false" hidden="true" localSheetId="1" name="_xlnm._FilterDatabase" vbProcedure="false">'Line Items'!$A$1:$F$194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<sst xmlns="http://schemas.openxmlformats.org/spreadsheetml/2006/main" count="1083" uniqueCount="283">
  <si>
    <t xml:space="preserve">Perez Household - 2026-09 Expenses</t>
  </si>
  <si>
    <t xml:space="preserve">Cash (checking) and card spending by category, from the Perez Household Ledger.</t>
  </si>
  <si>
    <t xml:space="preserve">Group</t>
  </si>
  <si>
    <t xml:space="preserve">Category</t>
  </si>
  <si>
    <t xml:space="preserve">Cash</t>
  </si>
  <si>
    <t xml:space="preserve">Card</t>
  </si>
  <si>
    <t xml:space="preserve">Total</t>
  </si>
  <si>
    <t xml:space="preserve">Monthly Bills</t>
  </si>
  <si>
    <t xml:space="preserve">Car insurance</t>
  </si>
  <si>
    <t xml:space="preserve">Verizon</t>
  </si>
  <si>
    <t xml:space="preserve">NV Energy</t>
  </si>
  <si>
    <t xml:space="preserve">National Life Ins</t>
  </si>
  <si>
    <t xml:space="preserve">Atty Chua</t>
  </si>
  <si>
    <t xml:space="preserve">Cox</t>
  </si>
  <si>
    <t xml:space="preserve">PGE</t>
  </si>
  <si>
    <t xml:space="preserve">Prulife</t>
  </si>
  <si>
    <t xml:space="preserve">Cal Water</t>
  </si>
  <si>
    <t xml:space="preserve">Republic Services</t>
  </si>
  <si>
    <t xml:space="preserve">Netflix</t>
  </si>
  <si>
    <t xml:space="preserve">Amazon Prime</t>
  </si>
  <si>
    <t xml:space="preserve">YT Premium</t>
  </si>
  <si>
    <t xml:space="preserve">Yesoulfitness</t>
  </si>
  <si>
    <t xml:space="preserve">Life 360</t>
  </si>
  <si>
    <t xml:space="preserve">Total Monthly Bills</t>
  </si>
  <si>
    <t xml:space="preserve">Expenses</t>
  </si>
  <si>
    <t xml:space="preserve">Others</t>
  </si>
  <si>
    <t xml:space="preserve">Food - Eat Out</t>
  </si>
  <si>
    <t xml:space="preserve">Groceries - Walmart</t>
  </si>
  <si>
    <t xml:space="preserve">Shop - Amazon</t>
  </si>
  <si>
    <t xml:space="preserve">paypal tiktok</t>
  </si>
  <si>
    <t xml:space="preserve">Shop - Others</t>
  </si>
  <si>
    <t xml:space="preserve">Groceries - Costco</t>
  </si>
  <si>
    <t xml:space="preserve">Medical</t>
  </si>
  <si>
    <t xml:space="preserve">Gas</t>
  </si>
  <si>
    <t xml:space="preserve">Remittance - Aron</t>
  </si>
  <si>
    <t xml:space="preserve">Food - To go</t>
  </si>
  <si>
    <t xml:space="preserve">Groceries - Seafood City</t>
  </si>
  <si>
    <t xml:space="preserve">Vacation</t>
  </si>
  <si>
    <t xml:space="preserve">For Bike</t>
  </si>
  <si>
    <t xml:space="preserve">VA expense</t>
  </si>
  <si>
    <t xml:space="preserve">Compass</t>
  </si>
  <si>
    <t xml:space="preserve">Food - Misc</t>
  </si>
  <si>
    <t xml:space="preserve">For Car</t>
  </si>
  <si>
    <t xml:space="preserve">Total Expenses</t>
  </si>
  <si>
    <t xml:space="preserve">Debt</t>
  </si>
  <si>
    <t xml:space="preserve">Affirm</t>
  </si>
  <si>
    <t xml:space="preserve">Auto Loan - Honda</t>
  </si>
  <si>
    <t xml:space="preserve">Auto Loan - WRX</t>
  </si>
  <si>
    <t xml:space="preserve">Auto Loan - Miata</t>
  </si>
  <si>
    <t xml:space="preserve">Klarna</t>
  </si>
  <si>
    <t xml:space="preserve">Chase Pay in 4</t>
  </si>
  <si>
    <t xml:space="preserve">CC - Credit 1</t>
  </si>
  <si>
    <t xml:space="preserve">CC - Ollo</t>
  </si>
  <si>
    <t xml:space="preserve">CC - Citibank</t>
  </si>
  <si>
    <t xml:space="preserve">CC - One Pay</t>
  </si>
  <si>
    <t xml:space="preserve">Total Debt</t>
  </si>
  <si>
    <t xml:space="preserve">GRAND TOTAL</t>
  </si>
  <si>
    <t xml:space="preserve">Check: equals Line Items total</t>
  </si>
  <si>
    <t xml:space="preserve">Not counted yet (checked off or held, but not posted in Chase) - not included above</t>
  </si>
  <si>
    <t xml:space="preserve">2026-09-26</t>
  </si>
  <si>
    <t xml:space="preserve">Afterpay - checked off as paid</t>
  </si>
  <si>
    <t xml:space="preserve">2026-09-28</t>
  </si>
  <si>
    <t xml:space="preserve">SW Gas - checked off as paid</t>
  </si>
  <si>
    <t xml:space="preserve">Total not counted yet</t>
  </si>
  <si>
    <t xml:space="preserve">Notes:</t>
  </si>
  <si>
    <t xml:space="preserve">- Cash = paid from Chase checking (...0861). Card = purchases, fees and interest on credit card statements, by transaction date.</t>
  </si>
  <si>
    <t xml:space="preserve">- Credit card payments from checking are left out, since the card purchases themselves are counted (no double counting).</t>
  </si>
  <si>
    <t xml:space="preserve">- Income and transfers (PayPal, savings) are not expenses and are excluded.</t>
  </si>
  <si>
    <t xml:space="preserve">- Debt includes Affirm, Klarna, Chase Pay in 4, auto loans and card fees/interest. Refunds and credits show as negatives.</t>
  </si>
  <si>
    <t xml:space="preserve">- Card statements only cover purchases through each card's closing date; later purchases appear on the next statements.</t>
  </si>
  <si>
    <t xml:space="preserve">Date</t>
  </si>
  <si>
    <t xml:space="preserve">Description</t>
  </si>
  <si>
    <t xml:space="preserve">Source</t>
  </si>
  <si>
    <t xml:space="preserve">Amount</t>
  </si>
  <si>
    <t xml:space="preserve">2026-09-01</t>
  </si>
  <si>
    <t xml:space="preserve">DD *DOORDASH CHURCHST 855-431-0459 CA        09/01</t>
  </si>
  <si>
    <t xml:space="preserve">Checking</t>
  </si>
  <si>
    <t xml:space="preserve">MCDONALD'S F25291 HENDERSON NV               08/31</t>
  </si>
  <si>
    <t xml:space="preserve">SHELL OIL 57441199007 HENDERSON NV           08/31</t>
  </si>
  <si>
    <t xml:space="preserve">Taptap Send New York NY                      09/01</t>
  </si>
  <si>
    <t xml:space="preserve">COSTCO WHSE #0673 HENDERSON NV</t>
  </si>
  <si>
    <t xml:space="preserve">Costco Anywhere Visa (Citi) (...7561)</t>
  </si>
  <si>
    <t xml:space="preserve">2026-09-02</t>
  </si>
  <si>
    <t xml:space="preserve">AMAZON MARKETPLA INTERNET   043000097642586 WEB ID: 9049016352</t>
  </si>
  <si>
    <t xml:space="preserve">ATM WITHDRAWAL                       000996  09/02705 S GRE</t>
  </si>
  <si>
    <t xml:space="preserve">CHOPSTIX HENDERSON NV                        09/01</t>
  </si>
  <si>
    <t xml:space="preserve">EXPRESS SMOG- HENDERSON HENDERSON NV         09/01</t>
  </si>
  <si>
    <t xml:space="preserve">SP+AFF * HOWLER BIKE 855-423-3729 CA         09/02</t>
  </si>
  <si>
    <t xml:space="preserve">TST*CASA DE EMPANADA - Las Vegas NV          09/01</t>
  </si>
  <si>
    <t xml:space="preserve">WM SUPERCENTER #2838 HENDERSON NV            09/01</t>
  </si>
  <si>
    <t xml:space="preserve">WOW CARWASH 183-39699274 NV                  09/01</t>
  </si>
  <si>
    <t xml:space="preserve">WWW.MAC.BID WWW.MAC.BID PA</t>
  </si>
  <si>
    <t xml:space="preserve">Venmo Credit Card (...7985)</t>
  </si>
  <si>
    <t xml:space="preserve">2026-09-03</t>
  </si>
  <si>
    <t xml:space="preserve">AMAZON.COM SERVI ADJUSTMENT                 PPD ID: 9049016352</t>
  </si>
  <si>
    <t xml:space="preserve">ATM WITHDRAWAL                       005889  09/03605 MARKS</t>
  </si>
  <si>
    <t xml:space="preserve">AUNTIE ANNE'S PRETZELS HENDERSON NV          09/02</t>
  </si>
  <si>
    <t xml:space="preserve">PAYPAL           PURCHASE   TIKTOK SHOP     WEB ID: PAYPALSI77</t>
  </si>
  <si>
    <t xml:space="preserve">PAYPAL *UPS US SHIP 800-742-5877 GA          09/02</t>
  </si>
  <si>
    <t xml:space="preserve">SQ *CORAL GABLES LV LLC Las Vegas NV         09/02</t>
  </si>
  <si>
    <t xml:space="preserve">SQ *PARIS CREPE Henderson NV                 09/02</t>
  </si>
  <si>
    <t xml:space="preserve">WM SUPERCENTER #2483 LAS VEGAS NV            09/03</t>
  </si>
  <si>
    <t xml:space="preserve">2026-09-04</t>
  </si>
  <si>
    <t xml:space="preserve">AMAZON MARKETPLA INTERNET   043000099921608 WEB ID: 9049016352</t>
  </si>
  <si>
    <t xml:space="preserve">Autopay to Chase Pay in 4 (...6737) 09/04</t>
  </si>
  <si>
    <t xml:space="preserve">CLUB FORTUNE CASINO CLU DAYTON NV            09/03</t>
  </si>
  <si>
    <t xml:space="preserve">PAYPAL           PURCHASE   COVESMART       WEB ID: PAYPALSI77</t>
  </si>
  <si>
    <t xml:space="preserve">PAYPAL           PURCHASE   GOOGLE ALLTRAIL WEB ID: PAYPALSI77</t>
  </si>
  <si>
    <t xml:space="preserve">SQ *OMING'S KITCHEN BLU Las Vegas NV         09/03</t>
  </si>
  <si>
    <t xml:space="preserve">ANNUAL FEE     10/26 THROUGH 10/26</t>
  </si>
  <si>
    <t xml:space="preserve">Credit One Bank (...4838)</t>
  </si>
  <si>
    <t xml:space="preserve">LATE FEE</t>
  </si>
  <si>
    <t xml:space="preserve">2026-09-05</t>
  </si>
  <si>
    <t xml:space="preserve">Ollo Credit Card (...3450)</t>
  </si>
  <si>
    <t xml:space="preserve">2026-09-06</t>
  </si>
  <si>
    <t xml:space="preserve">COSTCO GAS #0673 HENDERSON NV</t>
  </si>
  <si>
    <t xml:space="preserve">2026-09-08</t>
  </si>
  <si>
    <t xml:space="preserve">5102_ETM_SMV Henderson NV                    09/05</t>
  </si>
  <si>
    <t xml:space="preserve">AMAZON MARKETPLA INTERNET   043000092355832 WEB ID: 9049016352</t>
  </si>
  <si>
    <t xml:space="preserve">AMAZON MARKETPLA INTERNET   043000094609678 WEB ID: 9049016352</t>
  </si>
  <si>
    <t xml:space="preserve">AMAZON MARKETPLA INTERNET   043000094837844 WEB ID: 9049016352</t>
  </si>
  <si>
    <t xml:space="preserve">AMAZON PRIME*U62877D Amzn.com/bill WA        09/05</t>
  </si>
  <si>
    <t xml:space="preserve">CAPITAL ONE AUTO DIRECTPAY  DP0BD33379A6CBD WEB ID: 9541719802</t>
  </si>
  <si>
    <t xml:space="preserve">COCA COLA LAS VEGAS LAS VEGAS NV             09/05</t>
  </si>
  <si>
    <t xml:space="preserve">GIV*FIRST PRESBY 831-4227811 CA              09/06</t>
  </si>
  <si>
    <t xml:space="preserve">GORDON RAMSAYS GR BURGE LAS VEGAS NV         09/06</t>
  </si>
  <si>
    <t xml:space="preserve">HURLEYLVSXXX089 LAS VEGAS NV                 09/05</t>
  </si>
  <si>
    <t xml:space="preserve">JOLLIBEE LAS VEGAS NV                        09/04</t>
  </si>
  <si>
    <t xml:space="preserve">LEGO Fashion Show Las Vegas NV               09/07</t>
  </si>
  <si>
    <t xml:space="preserve">LITTLE CAESARS 1227-0 702-564-9500 NV        09/05</t>
  </si>
  <si>
    <t xml:space="preserve">MR TERRIBLE'S SELF-SERV HENDERSON NV         09/07</t>
  </si>
  <si>
    <t xml:space="preserve">Netflix.com netflix.com CA                   09/08</t>
  </si>
  <si>
    <t xml:space="preserve">NikePOS_US Las Vegas NV                      09/06</t>
  </si>
  <si>
    <t xml:space="preserve">Nyx*Relax &amp; Recharge Clayton NJ              09/05</t>
  </si>
  <si>
    <t xml:space="preserve">Online Payment 30725388192 To ALA 0908 09/08</t>
  </si>
  <si>
    <t xml:space="preserve">PAYPAL           PURCHASE   GOVAUCTIONS     WEB ID: PAYPALSI77</t>
  </si>
  <si>
    <t xml:space="preserve">SFC LAS VEGAS - MARYLA LAS VEGAS NV  888943  09/06</t>
  </si>
  <si>
    <t xml:space="preserve">THE HARTFORD     INSPMTP                    PPD ID: 900653231</t>
  </si>
  <si>
    <t xml:space="preserve">Tommy Hilfiger Las Vegas NV                  09/06</t>
  </si>
  <si>
    <t xml:space="preserve">VONS #2396 LAS VEGAS NV                      09/06</t>
  </si>
  <si>
    <t xml:space="preserve">Zelle payment to 7252368666 JPM99cvlxw9o</t>
  </si>
  <si>
    <t xml:space="preserve">Zelle payment to German F JPM99cviq5aa</t>
  </si>
  <si>
    <t xml:space="preserve">2026-09-09</t>
  </si>
  <si>
    <t xml:space="preserve">AMAZON MARKETPLA INTERNET   043000096059910 WEB ID: 9049016352</t>
  </si>
  <si>
    <t xml:space="preserve">AMAZON MARKETPLA INTERNET   043000096251486 WEB ID: 9049016352</t>
  </si>
  <si>
    <t xml:space="preserve">AMAZON.COM SERVI INTERNET   043000096377658 WEB ID: 9049016352</t>
  </si>
  <si>
    <t xml:space="preserve">CALWATER SERVICE BILLPAY                    PPD ID: 0000000160</t>
  </si>
  <si>
    <t xml:space="preserve">SMITHS #4331 HENDERSON NV                    09/09</t>
  </si>
  <si>
    <t xml:space="preserve">UPS*MY-CHOICE 800-811-1648 GA                09/08</t>
  </si>
  <si>
    <t xml:space="preserve">OPENAI *CHATGPT SUBSCR SAN FRANCISCO CA</t>
  </si>
  <si>
    <t xml:space="preserve">OnePay CashRewards (...0461)</t>
  </si>
  <si>
    <t xml:space="preserve">2026-09-10</t>
  </si>
  <si>
    <t xml:space="preserve">JOSHAN FILIPINO ORIENT HENDERSON NV          09/10</t>
  </si>
  <si>
    <t xml:space="preserve">WM SUPERCENTER #3350 LAS VEGAS NV            09/10</t>
  </si>
  <si>
    <t xml:space="preserve">Credit One Bank (...4352)</t>
  </si>
  <si>
    <t xml:space="preserve">GIFTHEALTH*LILLYDIRECT COLUMBUS OH</t>
  </si>
  <si>
    <t xml:space="preserve">Frontier Airlines World Mastercard (...6936)</t>
  </si>
  <si>
    <t xml:space="preserve">2026-09-11</t>
  </si>
  <si>
    <t xml:space="preserve">Miata payment</t>
  </si>
  <si>
    <t xml:space="preserve">POS DEBIT                DINKERS LLC               HENDERSON    NV</t>
  </si>
  <si>
    <t xml:space="preserve">POS DEBIT                KLARNA*WHEELTOP.US        COLUMBUS     OH                                                                                                                                                                                                                                                                        5299</t>
  </si>
  <si>
    <t xml:space="preserve">POS DEBIT                SP+AFF * AEROFLOWDYNAM    855-423-3729 CA</t>
  </si>
  <si>
    <t xml:space="preserve">POS DEBIT                SP+AFF * EUFY US          855-423-3729 CA</t>
  </si>
  <si>
    <t xml:space="preserve">POS DEBIT                XO Liquor Boulder        Henderson     NV</t>
  </si>
  <si>
    <t xml:space="preserve">my insurance</t>
  </si>
  <si>
    <t xml:space="preserve">to paypal savings</t>
  </si>
  <si>
    <t xml:space="preserve">2026-09-12</t>
  </si>
  <si>
    <t xml:space="preserve">gas</t>
  </si>
  <si>
    <t xml:space="preserve">2026-09-13</t>
  </si>
  <si>
    <t xml:space="preserve">Affirm - Pickleball - installment 1/4</t>
  </si>
  <si>
    <t xml:space="preserve">Klarna - Amazon (car computer) - installment 2/12</t>
  </si>
  <si>
    <t xml:space="preserve">Omelet House</t>
  </si>
  <si>
    <t xml:space="preserve">dinkers</t>
  </si>
  <si>
    <t xml:space="preserve">haircut</t>
  </si>
  <si>
    <t xml:space="preserve">2026-09-14</t>
  </si>
  <si>
    <t xml:space="preserve">CARE USA CARE.ORG GA</t>
  </si>
  <si>
    <t xml:space="preserve">Chase Amazon Prime Visa (...1755)</t>
  </si>
  <si>
    <t xml:space="preserve">Aliepay - sheet for couch</t>
  </si>
  <si>
    <t xml:space="preserve">Dinkers LLC Henderson NV</t>
  </si>
  <si>
    <t xml:space="preserve">paypal apple</t>
  </si>
  <si>
    <t xml:space="preserve">2026-09-15</t>
  </si>
  <si>
    <t xml:space="preserve">Affirm - Expedia (San Diego) - installment 3/3</t>
  </si>
  <si>
    <t xml:space="preserve">Amazon</t>
  </si>
  <si>
    <t xml:space="preserve">Atty Chua - checked off as paid</t>
  </si>
  <si>
    <t xml:space="preserve">Triple A membership</t>
  </si>
  <si>
    <t xml:space="preserve">amazon</t>
  </si>
  <si>
    <t xml:space="preserve">door dash hawaian food</t>
  </si>
  <si>
    <t xml:space="preserve">home depot</t>
  </si>
  <si>
    <t xml:space="preserve">refund walmart</t>
  </si>
  <si>
    <t xml:space="preserve">CSAA INSURANCE G P PRS 800-922-8228 CA</t>
  </si>
  <si>
    <t xml:space="preserve">HARTFORD INSURANCE PLNC 877-896-9320 CT</t>
  </si>
  <si>
    <t xml:space="preserve">2026-09-16</t>
  </si>
  <si>
    <t xml:space="preserve">WM Supercenter #3354</t>
  </si>
  <si>
    <t xml:space="preserve">ANTHROPIC* CLAUDE SUB SAN FRANCISCO CA</t>
  </si>
  <si>
    <t xml:space="preserve">2026-09-17</t>
  </si>
  <si>
    <t xml:space="preserve">DMV</t>
  </si>
  <si>
    <t xml:space="preserve">Rosy's delight and boba tea</t>
  </si>
  <si>
    <t xml:space="preserve">HARTFORD INSURANCE PLNC 8778969320 CT</t>
  </si>
  <si>
    <t xml:space="preserve">INTEREST CHARGE ON PURCHASES</t>
  </si>
  <si>
    <t xml:space="preserve">2026-09-18</t>
  </si>
  <si>
    <t xml:space="preserve">Affirm - Amazon (5 mo) - installment 2/5</t>
  </si>
  <si>
    <t xml:space="preserve">Chase Pay in 4 - installment 2/4</t>
  </si>
  <si>
    <t xml:space="preserve">PAYPAL PURCHASE TIKTOK SHOP WEB ID: PAYPALSI77</t>
  </si>
  <si>
    <t xml:space="preserve">hartford refund</t>
  </si>
  <si>
    <t xml:space="preserve">ice cream</t>
  </si>
  <si>
    <t xml:space="preserve">jollibee</t>
  </si>
  <si>
    <t xml:space="preserve">uber</t>
  </si>
  <si>
    <t xml:space="preserve">walmart</t>
  </si>
  <si>
    <t xml:space="preserve">INTEREST CHARGED TO STANDARD PURCH</t>
  </si>
  <si>
    <t xml:space="preserve">2026-09-20</t>
  </si>
  <si>
    <t xml:space="preserve">Affirm - Expedia (Avila Beach) - installment 2/3</t>
  </si>
  <si>
    <t xml:space="preserve">little pampanga</t>
  </si>
  <si>
    <t xml:space="preserve">red ribbon</t>
  </si>
  <si>
    <t xml:space="preserve">seafood city</t>
  </si>
  <si>
    <t xml:space="preserve">2026-09-21</t>
  </si>
  <si>
    <t xml:space="preserve">Affirm - WRX - installment 4/6</t>
  </si>
  <si>
    <t xml:space="preserve">Cox - checked off as paid</t>
  </si>
  <si>
    <t xml:space="preserve">NV Energy - checked off as paid</t>
  </si>
  <si>
    <t xml:space="preserve">ORIG CO NAME:VENMO CO ENTRY DESCR:PAYMENT SEC:WEB IND ID:1053175806133 ORIG ID:3264681992</t>
  </si>
  <si>
    <t xml:space="preserve">POS DEBIT GIV*FIRST PRESBY 831-4227811 CA</t>
  </si>
  <si>
    <t xml:space="preserve">ZELLE PAYMENT TO 7023353090 JPM99CX2WFBR</t>
  </si>
  <si>
    <t xml:space="preserve">ZELLE PAYMENT TO JANICE JPM99CX2QG3E</t>
  </si>
  <si>
    <t xml:space="preserve">ZELLE PAYMENT TO TIGRESA BEAUTY, CORP. 30883622748</t>
  </si>
  <si>
    <t xml:space="preserve">ZELLE PAYMENT TO TIGRESA BEAUTY, CORP. 30892678593</t>
  </si>
  <si>
    <t xml:space="preserve">2026-09-22</t>
  </si>
  <si>
    <t xml:space="preserve">Republic services</t>
  </si>
  <si>
    <t xml:space="preserve">amazon - ceiling fan</t>
  </si>
  <si>
    <t xml:space="preserve">freddys</t>
  </si>
  <si>
    <t xml:space="preserve">2026-09-23</t>
  </si>
  <si>
    <t xml:space="preserve">Amazon - soap dispenser</t>
  </si>
  <si>
    <t xml:space="preserve">Life 360 - checked off as paid</t>
  </si>
  <si>
    <t xml:space="preserve">Prulife - checked off as paid</t>
  </si>
  <si>
    <t xml:space="preserve">amazon - air hose</t>
  </si>
  <si>
    <t xml:space="preserve">metaplatform</t>
  </si>
  <si>
    <t xml:space="preserve">mr kims bbq</t>
  </si>
  <si>
    <t xml:space="preserve">target - knee support</t>
  </si>
  <si>
    <t xml:space="preserve">2026-09-24</t>
  </si>
  <si>
    <t xml:space="preserve">Affirm - Amazon (12 mo) - installment 1/12</t>
  </si>
  <si>
    <t xml:space="preserve">amazon - pickleball paddle</t>
  </si>
  <si>
    <t xml:space="preserve">2026-09-25</t>
  </si>
  <si>
    <t xml:space="preserve">Affirm - Eufy camera - installment 4/4</t>
  </si>
  <si>
    <t xml:space="preserve">Verizon - checked off as paid</t>
  </si>
  <si>
    <t xml:space="preserve">YT Premium - checked off as paid</t>
  </si>
  <si>
    <t xml:space="preserve">amazon - gas line kit</t>
  </si>
  <si>
    <t xml:space="preserve">meta ads</t>
  </si>
  <si>
    <t xml:space="preserve">Affirm - Wayfair - installment 1/6</t>
  </si>
  <si>
    <t xml:space="preserve">Klarna - Walmart (OnePay TV) - installment 1/6</t>
  </si>
  <si>
    <t xml:space="preserve">Yesoulfitness - checked off as paid</t>
  </si>
  <si>
    <t xml:space="preserve">gas tank</t>
  </si>
  <si>
    <t xml:space="preserve">Affirm - Pickleball - installment 2/4</t>
  </si>
  <si>
    <t xml:space="preserve">Cal pizza kitchen</t>
  </si>
  <si>
    <t xml:space="preserve">Capcut</t>
  </si>
  <si>
    <t xml:space="preserve">DMV plate</t>
  </si>
  <si>
    <t xml:space="preserve">Gimik republik</t>
  </si>
  <si>
    <t xml:space="preserve">Kitchen USA - foodie las vegas</t>
  </si>
  <si>
    <t xml:space="preserve">POS DEBIT GOOGLE *G1AI101M G.CO/HELPPAY CA (...5438)</t>
  </si>
  <si>
    <t xml:space="preserve">Pegs Glorified</t>
  </si>
  <si>
    <t xml:space="preserve">UPS shipping</t>
  </si>
  <si>
    <t xml:space="preserve">Walmart</t>
  </si>
  <si>
    <t xml:space="preserve">amazon -  pickleball shoes</t>
  </si>
  <si>
    <t xml:space="preserve">amazon - portable ac partd</t>
  </si>
  <si>
    <t xml:space="preserve">amazon - refund</t>
  </si>
  <si>
    <t xml:space="preserve">compass</t>
  </si>
  <si>
    <t xml:space="preserve">kitchen light</t>
  </si>
  <si>
    <t xml:space="preserve">2026-09-29</t>
  </si>
  <si>
    <t xml:space="preserve">POS DEBIT MR TERRIBLE SELF-SERV HENDERSON NV</t>
  </si>
  <si>
    <t xml:space="preserve">UPS ship</t>
  </si>
  <si>
    <t xml:space="preserve">auntioe annes</t>
  </si>
  <si>
    <t xml:space="preserve">tacos el gordo</t>
  </si>
  <si>
    <t xml:space="preserve">water</t>
  </si>
  <si>
    <t xml:space="preserve">zelle to buy pickleball</t>
  </si>
  <si>
    <t xml:space="preserve">2026-09-30</t>
  </si>
  <si>
    <t xml:space="preserve">ATM WITHDRAWAL 005706 09/30</t>
  </si>
  <si>
    <t xml:space="preserve">Affirm - Wayfair (2nd plan) - installment 1/3</t>
  </si>
  <si>
    <t xml:space="preserve">Dam Roast</t>
  </si>
  <si>
    <t xml:space="preserve">PAYPAL PURCHASE GOVAUCTIONS</t>
  </si>
  <si>
    <t xml:space="preserve">POS CREDIT GOOGLE *G1AI101M g.co/helppay CA (...5438)</t>
  </si>
  <si>
    <t xml:space="preserve">Zelle payment to Mary Gerbino JPM99cy9d01s</t>
  </si>
  <si>
    <t xml:space="preserve">amazon - filter for dyson</t>
  </si>
  <si>
    <t xml:space="preserve">doordash pass</t>
  </si>
  <si>
    <t xml:space="preserve">remittance aron</t>
  </si>
  <si>
    <t xml:space="preserve">zelle - mattress</t>
  </si>
  <si>
    <t xml:space="preserve">Amounts are money spent (positive); refunds and credits are negative. Card rows are purchases, fees and interest from card statements; checking payments to those cards are left out so nothing is counted twice.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</si>
</sst>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D3D"/>
        <bgColor rgb="FF003366"/>
      </patternFill>
    </fill>
    <fill>
      <patternFill patternType="solid">
        <fgColor rgb="FFE1EDE5"/>
        <bgColor rgb="FFD3DAC5"/>
      </patternFill>
    </fill>
    <fill>
      <patternFill patternType="solid">
        <fgColor rgb="FFD3DAC5"/>
        <bgColor rgb="FFE1EDE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0B8A4"/>
      </top>
      <bottom style="thin">
        <color rgb="FFB0B8A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D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A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AC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D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5" t="n">
        <f aca="false">SUMIFS('Line Items'!$F$2:$F$194,'Line Items'!$D$2:$D$194,$A5,'Line Items'!$E$2:$E$194,$B5,'Line Items'!$C$2:$C$194,"Checking")</f>
        <v>278.91</v>
      </c>
      <c r="D5" s="5" t="n">
        <f aca="false">SUMIFS('Line Items'!$F$2:$F$194,'Line Items'!$D$2:$D$194,$A5,'Line Items'!$E$2:$E$194,$B5,'Line Items'!$C$2:$C$194,"&lt;&gt;Checking")</f>
        <v>310.89</v>
      </c>
      <c r="E5" s="5" t="n">
        <f aca="false">C5+D5</f>
        <v>589.8</v>
      </c>
    </row>
    <row r="6" customFormat="false" ht="15" hidden="false" customHeight="false" outlineLevel="0" collapsed="false">
      <c r="A6" s="4" t="s">
        <v>7</v>
      </c>
      <c r="B6" s="4" t="s">
        <v>9</v>
      </c>
      <c r="C6" s="5" t="n">
        <f aca="false">SUMIFS('Line Items'!$F$2:$F$194,'Line Items'!$D$2:$D$194,$A6,'Line Items'!$E$2:$E$194,$B6,'Line Items'!$C$2:$C$194,"Checking")</f>
        <v>401.75</v>
      </c>
      <c r="D6" s="5" t="n">
        <f aca="false">SUMIFS('Line Items'!$F$2:$F$194,'Line Items'!$D$2:$D$194,$A6,'Line Items'!$E$2:$E$194,$B6,'Line Items'!$C$2:$C$194,"&lt;&gt;Checking")</f>
        <v>0</v>
      </c>
      <c r="E6" s="5" t="n">
        <f aca="false">C6+D6</f>
        <v>401.75</v>
      </c>
    </row>
    <row r="7" customFormat="false" ht="15" hidden="false" customHeight="false" outlineLevel="0" collapsed="false">
      <c r="A7" s="4" t="s">
        <v>7</v>
      </c>
      <c r="B7" s="4" t="s">
        <v>10</v>
      </c>
      <c r="C7" s="5" t="n">
        <f aca="false">SUMIFS('Line Items'!$F$2:$F$194,'Line Items'!$D$2:$D$194,$A7,'Line Items'!$E$2:$E$194,$B7,'Line Items'!$C$2:$C$194,"Checking")</f>
        <v>289.55</v>
      </c>
      <c r="D7" s="5" t="n">
        <f aca="false">SUMIFS('Line Items'!$F$2:$F$194,'Line Items'!$D$2:$D$194,$A7,'Line Items'!$E$2:$E$194,$B7,'Line Items'!$C$2:$C$194,"&lt;&gt;Checking")</f>
        <v>0</v>
      </c>
      <c r="E7" s="5" t="n">
        <f aca="false">C7+D7</f>
        <v>289.55</v>
      </c>
    </row>
    <row r="8" customFormat="false" ht="15" hidden="false" customHeight="false" outlineLevel="0" collapsed="false">
      <c r="A8" s="4" t="s">
        <v>7</v>
      </c>
      <c r="B8" s="4" t="s">
        <v>11</v>
      </c>
      <c r="C8" s="5" t="n">
        <f aca="false">SUMIFS('Line Items'!$F$2:$F$194,'Line Items'!$D$2:$D$194,$A8,'Line Items'!$E$2:$E$194,$B8,'Line Items'!$C$2:$C$194,"Checking")</f>
        <v>205.62</v>
      </c>
      <c r="D8" s="5" t="n">
        <f aca="false">SUMIFS('Line Items'!$F$2:$F$194,'Line Items'!$D$2:$D$194,$A8,'Line Items'!$E$2:$E$194,$B8,'Line Items'!$C$2:$C$194,"&lt;&gt;Checking")</f>
        <v>0</v>
      </c>
      <c r="E8" s="5" t="n">
        <f aca="false">C8+D8</f>
        <v>205.62</v>
      </c>
    </row>
    <row r="9" customFormat="false" ht="15" hidden="false" customHeight="false" outlineLevel="0" collapsed="false">
      <c r="A9" s="4" t="s">
        <v>7</v>
      </c>
      <c r="B9" s="4" t="s">
        <v>12</v>
      </c>
      <c r="C9" s="5" t="n">
        <f aca="false">SUMIFS('Line Items'!$F$2:$F$194,'Line Items'!$D$2:$D$194,$A9,'Line Items'!$E$2:$E$194,$B9,'Line Items'!$C$2:$C$194,"Checking")</f>
        <v>200</v>
      </c>
      <c r="D9" s="5" t="n">
        <f aca="false">SUMIFS('Line Items'!$F$2:$F$194,'Line Items'!$D$2:$D$194,$A9,'Line Items'!$E$2:$E$194,$B9,'Line Items'!$C$2:$C$194,"&lt;&gt;Checking")</f>
        <v>0</v>
      </c>
      <c r="E9" s="5" t="n">
        <f aca="false">C9+D9</f>
        <v>200</v>
      </c>
    </row>
    <row r="10" customFormat="false" ht="15" hidden="false" customHeight="false" outlineLevel="0" collapsed="false">
      <c r="A10" s="4" t="s">
        <v>7</v>
      </c>
      <c r="B10" s="4" t="s">
        <v>13</v>
      </c>
      <c r="C10" s="5" t="n">
        <f aca="false">SUMIFS('Line Items'!$F$2:$F$194,'Line Items'!$D$2:$D$194,$A10,'Line Items'!$E$2:$E$194,$B10,'Line Items'!$C$2:$C$194,"Checking")</f>
        <v>130</v>
      </c>
      <c r="D10" s="5" t="n">
        <f aca="false">SUMIFS('Line Items'!$F$2:$F$194,'Line Items'!$D$2:$D$194,$A10,'Line Items'!$E$2:$E$194,$B10,'Line Items'!$C$2:$C$194,"&lt;&gt;Checking")</f>
        <v>0</v>
      </c>
      <c r="E10" s="5" t="n">
        <f aca="false">C10+D10</f>
        <v>130</v>
      </c>
    </row>
    <row r="11" customFormat="false" ht="15" hidden="false" customHeight="false" outlineLevel="0" collapsed="false">
      <c r="A11" s="4" t="s">
        <v>7</v>
      </c>
      <c r="B11" s="4" t="s">
        <v>14</v>
      </c>
      <c r="C11" s="5" t="n">
        <f aca="false">SUMIFS('Line Items'!$F$2:$F$194,'Line Items'!$D$2:$D$194,$A11,'Line Items'!$E$2:$E$194,$B11,'Line Items'!$C$2:$C$194,"Checking")</f>
        <v>93.31</v>
      </c>
      <c r="D11" s="5" t="n">
        <f aca="false">SUMIFS('Line Items'!$F$2:$F$194,'Line Items'!$D$2:$D$194,$A11,'Line Items'!$E$2:$E$194,$B11,'Line Items'!$C$2:$C$194,"&lt;&gt;Checking")</f>
        <v>0</v>
      </c>
      <c r="E11" s="5" t="n">
        <f aca="false">C11+D11</f>
        <v>93.31</v>
      </c>
    </row>
    <row r="12" customFormat="false" ht="15" hidden="false" customHeight="false" outlineLevel="0" collapsed="false">
      <c r="A12" s="4" t="s">
        <v>7</v>
      </c>
      <c r="B12" s="4" t="s">
        <v>15</v>
      </c>
      <c r="C12" s="5" t="n">
        <f aca="false">SUMIFS('Line Items'!$F$2:$F$194,'Line Items'!$D$2:$D$194,$A12,'Line Items'!$E$2:$E$194,$B12,'Line Items'!$C$2:$C$194,"Checking")</f>
        <v>59.67</v>
      </c>
      <c r="D12" s="5" t="n">
        <f aca="false">SUMIFS('Line Items'!$F$2:$F$194,'Line Items'!$D$2:$D$194,$A12,'Line Items'!$E$2:$E$194,$B12,'Line Items'!$C$2:$C$194,"&lt;&gt;Checking")</f>
        <v>0</v>
      </c>
      <c r="E12" s="5" t="n">
        <f aca="false">C12+D12</f>
        <v>59.67</v>
      </c>
    </row>
    <row r="13" customFormat="false" ht="15" hidden="false" customHeight="false" outlineLevel="0" collapsed="false">
      <c r="A13" s="4" t="s">
        <v>7</v>
      </c>
      <c r="B13" s="4" t="s">
        <v>16</v>
      </c>
      <c r="C13" s="5" t="n">
        <f aca="false">SUMIFS('Line Items'!$F$2:$F$194,'Line Items'!$D$2:$D$194,$A13,'Line Items'!$E$2:$E$194,$B13,'Line Items'!$C$2:$C$194,"Checking")</f>
        <v>49.72</v>
      </c>
      <c r="D13" s="5" t="n">
        <f aca="false">SUMIFS('Line Items'!$F$2:$F$194,'Line Items'!$D$2:$D$194,$A13,'Line Items'!$E$2:$E$194,$B13,'Line Items'!$C$2:$C$194,"&lt;&gt;Checking")</f>
        <v>0</v>
      </c>
      <c r="E13" s="5" t="n">
        <f aca="false">C13+D13</f>
        <v>49.72</v>
      </c>
    </row>
    <row r="14" customFormat="false" ht="15" hidden="false" customHeight="false" outlineLevel="0" collapsed="false">
      <c r="A14" s="4" t="s">
        <v>7</v>
      </c>
      <c r="B14" s="4" t="s">
        <v>17</v>
      </c>
      <c r="C14" s="5" t="n">
        <f aca="false">SUMIFS('Line Items'!$F$2:$F$194,'Line Items'!$D$2:$D$194,$A14,'Line Items'!$E$2:$E$194,$B14,'Line Items'!$C$2:$C$194,"Checking")</f>
        <v>48.96</v>
      </c>
      <c r="D14" s="5" t="n">
        <f aca="false">SUMIFS('Line Items'!$F$2:$F$194,'Line Items'!$D$2:$D$194,$A14,'Line Items'!$E$2:$E$194,$B14,'Line Items'!$C$2:$C$194,"&lt;&gt;Checking")</f>
        <v>0</v>
      </c>
      <c r="E14" s="5" t="n">
        <f aca="false">C14+D14</f>
        <v>48.96</v>
      </c>
    </row>
    <row r="15" customFormat="false" ht="15" hidden="false" customHeight="false" outlineLevel="0" collapsed="false">
      <c r="A15" s="4" t="s">
        <v>7</v>
      </c>
      <c r="B15" s="4" t="s">
        <v>18</v>
      </c>
      <c r="C15" s="5" t="n">
        <f aca="false">SUMIFS('Line Items'!$F$2:$F$194,'Line Items'!$D$2:$D$194,$A15,'Line Items'!$E$2:$E$194,$B15,'Line Items'!$C$2:$C$194,"Checking")</f>
        <v>29.98</v>
      </c>
      <c r="D15" s="5" t="n">
        <f aca="false">SUMIFS('Line Items'!$F$2:$F$194,'Line Items'!$D$2:$D$194,$A15,'Line Items'!$E$2:$E$194,$B15,'Line Items'!$C$2:$C$194,"&lt;&gt;Checking")</f>
        <v>0</v>
      </c>
      <c r="E15" s="5" t="n">
        <f aca="false">C15+D15</f>
        <v>29.98</v>
      </c>
    </row>
    <row r="16" customFormat="false" ht="15" hidden="false" customHeight="false" outlineLevel="0" collapsed="false">
      <c r="A16" s="4" t="s">
        <v>7</v>
      </c>
      <c r="B16" s="4" t="s">
        <v>19</v>
      </c>
      <c r="C16" s="5" t="n">
        <f aca="false">SUMIFS('Line Items'!$F$2:$F$194,'Line Items'!$D$2:$D$194,$A16,'Line Items'!$E$2:$E$194,$B16,'Line Items'!$C$2:$C$194,"Checking")</f>
        <v>14.99</v>
      </c>
      <c r="D16" s="5" t="n">
        <f aca="false">SUMIFS('Line Items'!$F$2:$F$194,'Line Items'!$D$2:$D$194,$A16,'Line Items'!$E$2:$E$194,$B16,'Line Items'!$C$2:$C$194,"&lt;&gt;Checking")</f>
        <v>0</v>
      </c>
      <c r="E16" s="5" t="n">
        <f aca="false">C16+D16</f>
        <v>14.99</v>
      </c>
    </row>
    <row r="17" customFormat="false" ht="15" hidden="false" customHeight="false" outlineLevel="0" collapsed="false">
      <c r="A17" s="4" t="s">
        <v>7</v>
      </c>
      <c r="B17" s="4" t="s">
        <v>20</v>
      </c>
      <c r="C17" s="5" t="n">
        <f aca="false">SUMIFS('Line Items'!$F$2:$F$194,'Line Items'!$D$2:$D$194,$A17,'Line Items'!$E$2:$E$194,$B17,'Line Items'!$C$2:$C$194,"Checking")</f>
        <v>14.39</v>
      </c>
      <c r="D17" s="5" t="n">
        <f aca="false">SUMIFS('Line Items'!$F$2:$F$194,'Line Items'!$D$2:$D$194,$A17,'Line Items'!$E$2:$E$194,$B17,'Line Items'!$C$2:$C$194,"&lt;&gt;Checking")</f>
        <v>0</v>
      </c>
      <c r="E17" s="5" t="n">
        <f aca="false">C17+D17</f>
        <v>14.39</v>
      </c>
    </row>
    <row r="18" customFormat="false" ht="15" hidden="false" customHeight="false" outlineLevel="0" collapsed="false">
      <c r="A18" s="4" t="s">
        <v>7</v>
      </c>
      <c r="B18" s="4" t="s">
        <v>21</v>
      </c>
      <c r="C18" s="5" t="n">
        <f aca="false">SUMIFS('Line Items'!$F$2:$F$194,'Line Items'!$D$2:$D$194,$A18,'Line Items'!$E$2:$E$194,$B18,'Line Items'!$C$2:$C$194,"Checking")</f>
        <v>13.99</v>
      </c>
      <c r="D18" s="5" t="n">
        <f aca="false">SUMIFS('Line Items'!$F$2:$F$194,'Line Items'!$D$2:$D$194,$A18,'Line Items'!$E$2:$E$194,$B18,'Line Items'!$C$2:$C$194,"&lt;&gt;Checking")</f>
        <v>0</v>
      </c>
      <c r="E18" s="5" t="n">
        <f aca="false">C18+D18</f>
        <v>13.99</v>
      </c>
    </row>
    <row r="19" customFormat="false" ht="15" hidden="false" customHeight="false" outlineLevel="0" collapsed="false">
      <c r="A19" s="4" t="s">
        <v>7</v>
      </c>
      <c r="B19" s="4" t="s">
        <v>22</v>
      </c>
      <c r="C19" s="5" t="n">
        <f aca="false">SUMIFS('Line Items'!$F$2:$F$194,'Line Items'!$D$2:$D$194,$A19,'Line Items'!$E$2:$E$194,$B19,'Line Items'!$C$2:$C$194,"Checking")</f>
        <v>13.49</v>
      </c>
      <c r="D19" s="5" t="n">
        <f aca="false">SUMIFS('Line Items'!$F$2:$F$194,'Line Items'!$D$2:$D$194,$A19,'Line Items'!$E$2:$E$194,$B19,'Line Items'!$C$2:$C$194,"&lt;&gt;Checking")</f>
        <v>0</v>
      </c>
      <c r="E19" s="5" t="n">
        <f aca="false">C19+D19</f>
        <v>13.49</v>
      </c>
    </row>
    <row r="20" customFormat="false" ht="15" hidden="false" customHeight="false" outlineLevel="0" collapsed="false">
      <c r="A20" s="6" t="s">
        <v>23</v>
      </c>
      <c r="B20" s="6"/>
      <c r="C20" s="7" t="n">
        <f aca="false">SUM(C5:C19)</f>
        <v>1844.33</v>
      </c>
      <c r="D20" s="7" t="n">
        <f aca="false">SUM(D5:D19)</f>
        <v>310.89</v>
      </c>
      <c r="E20" s="7" t="n">
        <f aca="false">SUM(E5:E19)</f>
        <v>2155.22</v>
      </c>
    </row>
    <row r="21" customFormat="false" ht="15" hidden="false" customHeight="false" outlineLevel="0" collapsed="false">
      <c r="C21" s="8"/>
      <c r="D21" s="8"/>
      <c r="E21" s="8"/>
    </row>
    <row r="22" customFormat="false" ht="15" hidden="false" customHeight="false" outlineLevel="0" collapsed="false">
      <c r="A22" s="4" t="s">
        <v>24</v>
      </c>
      <c r="B22" s="4" t="s">
        <v>25</v>
      </c>
      <c r="C22" s="5" t="n">
        <f aca="false">SUMIFS('Line Items'!$F$2:$F$194,'Line Items'!$D$2:$D$194,$A22,'Line Items'!$E$2:$E$194,$B22,'Line Items'!$C$2:$C$194,"Checking")</f>
        <v>2890.9</v>
      </c>
      <c r="D22" s="5" t="n">
        <f aca="false">SUMIFS('Line Items'!$F$2:$F$194,'Line Items'!$D$2:$D$194,$A22,'Line Items'!$E$2:$E$194,$B22,'Line Items'!$C$2:$C$194,"&lt;&gt;Checking")</f>
        <v>30</v>
      </c>
      <c r="E22" s="5" t="n">
        <f aca="false">C22+D22</f>
        <v>2920.9</v>
      </c>
    </row>
    <row r="23" customFormat="false" ht="15" hidden="false" customHeight="false" outlineLevel="0" collapsed="false">
      <c r="A23" s="4" t="s">
        <v>24</v>
      </c>
      <c r="B23" s="4" t="s">
        <v>26</v>
      </c>
      <c r="C23" s="5" t="n">
        <f aca="false">SUMIFS('Line Items'!$F$2:$F$194,'Line Items'!$D$2:$D$194,$A23,'Line Items'!$E$2:$E$194,$B23,'Line Items'!$C$2:$C$194,"Checking")</f>
        <v>1280.67</v>
      </c>
      <c r="D23" s="5" t="n">
        <f aca="false">SUMIFS('Line Items'!$F$2:$F$194,'Line Items'!$D$2:$D$194,$A23,'Line Items'!$E$2:$E$194,$B23,'Line Items'!$C$2:$C$194,"&lt;&gt;Checking")</f>
        <v>0</v>
      </c>
      <c r="E23" s="5" t="n">
        <f aca="false">C23+D23</f>
        <v>1280.67</v>
      </c>
    </row>
    <row r="24" customFormat="false" ht="15" hidden="false" customHeight="false" outlineLevel="0" collapsed="false">
      <c r="A24" s="4" t="s">
        <v>24</v>
      </c>
      <c r="B24" s="4" t="s">
        <v>27</v>
      </c>
      <c r="C24" s="5" t="n">
        <f aca="false">SUMIFS('Line Items'!$F$2:$F$194,'Line Items'!$D$2:$D$194,$A24,'Line Items'!$E$2:$E$194,$B24,'Line Items'!$C$2:$C$194,"Checking")</f>
        <v>762.18</v>
      </c>
      <c r="D24" s="5" t="n">
        <f aca="false">SUMIFS('Line Items'!$F$2:$F$194,'Line Items'!$D$2:$D$194,$A24,'Line Items'!$E$2:$E$194,$B24,'Line Items'!$C$2:$C$194,"&lt;&gt;Checking")</f>
        <v>0</v>
      </c>
      <c r="E24" s="5" t="n">
        <f aca="false">C24+D24</f>
        <v>762.18</v>
      </c>
    </row>
    <row r="25" customFormat="false" ht="15" hidden="false" customHeight="false" outlineLevel="0" collapsed="false">
      <c r="A25" s="4" t="s">
        <v>24</v>
      </c>
      <c r="B25" s="4" t="s">
        <v>28</v>
      </c>
      <c r="C25" s="5" t="n">
        <f aca="false">SUMIFS('Line Items'!$F$2:$F$194,'Line Items'!$D$2:$D$194,$A25,'Line Items'!$E$2:$E$194,$B25,'Line Items'!$C$2:$C$194,"Checking")</f>
        <v>741.55</v>
      </c>
      <c r="D25" s="5" t="n">
        <f aca="false">SUMIFS('Line Items'!$F$2:$F$194,'Line Items'!$D$2:$D$194,$A25,'Line Items'!$E$2:$E$194,$B25,'Line Items'!$C$2:$C$194,"&lt;&gt;Checking")</f>
        <v>0</v>
      </c>
      <c r="E25" s="5" t="n">
        <f aca="false">C25+D25</f>
        <v>741.55</v>
      </c>
    </row>
    <row r="26" customFormat="false" ht="15" hidden="false" customHeight="false" outlineLevel="0" collapsed="false">
      <c r="A26" s="4" t="s">
        <v>24</v>
      </c>
      <c r="B26" s="4" t="s">
        <v>29</v>
      </c>
      <c r="C26" s="5" t="n">
        <f aca="false">SUMIFS('Line Items'!$F$2:$F$194,'Line Items'!$D$2:$D$194,$A26,'Line Items'!$E$2:$E$194,$B26,'Line Items'!$C$2:$C$194,"Checking")</f>
        <v>469.52</v>
      </c>
      <c r="D26" s="5" t="n">
        <f aca="false">SUMIFS('Line Items'!$F$2:$F$194,'Line Items'!$D$2:$D$194,$A26,'Line Items'!$E$2:$E$194,$B26,'Line Items'!$C$2:$C$194,"&lt;&gt;Checking")</f>
        <v>0</v>
      </c>
      <c r="E26" s="5" t="n">
        <f aca="false">C26+D26</f>
        <v>469.52</v>
      </c>
    </row>
    <row r="27" customFormat="false" ht="15" hidden="false" customHeight="false" outlineLevel="0" collapsed="false">
      <c r="A27" s="4" t="s">
        <v>24</v>
      </c>
      <c r="B27" s="4" t="s">
        <v>30</v>
      </c>
      <c r="C27" s="5" t="n">
        <f aca="false">SUMIFS('Line Items'!$F$2:$F$194,'Line Items'!$D$2:$D$194,$A27,'Line Items'!$E$2:$E$194,$B27,'Line Items'!$C$2:$C$194,"Checking")</f>
        <v>341.53</v>
      </c>
      <c r="D27" s="5" t="n">
        <f aca="false">SUMIFS('Line Items'!$F$2:$F$194,'Line Items'!$D$2:$D$194,$A27,'Line Items'!$E$2:$E$194,$B27,'Line Items'!$C$2:$C$194,"&lt;&gt;Checking")</f>
        <v>53.38</v>
      </c>
      <c r="E27" s="5" t="n">
        <f aca="false">C27+D27</f>
        <v>394.91</v>
      </c>
    </row>
    <row r="28" customFormat="false" ht="15" hidden="false" customHeight="false" outlineLevel="0" collapsed="false">
      <c r="A28" s="4" t="s">
        <v>24</v>
      </c>
      <c r="B28" s="4" t="s">
        <v>31</v>
      </c>
      <c r="C28" s="5" t="n">
        <f aca="false">SUMIFS('Line Items'!$F$2:$F$194,'Line Items'!$D$2:$D$194,$A28,'Line Items'!$E$2:$E$194,$B28,'Line Items'!$C$2:$C$194,"Checking")</f>
        <v>0</v>
      </c>
      <c r="D28" s="5" t="n">
        <f aca="false">SUMIFS('Line Items'!$F$2:$F$194,'Line Items'!$D$2:$D$194,$A28,'Line Items'!$E$2:$E$194,$B28,'Line Items'!$C$2:$C$194,"&lt;&gt;Checking")</f>
        <v>331</v>
      </c>
      <c r="E28" s="5" t="n">
        <f aca="false">C28+D28</f>
        <v>331</v>
      </c>
    </row>
    <row r="29" customFormat="false" ht="15" hidden="false" customHeight="false" outlineLevel="0" collapsed="false">
      <c r="A29" s="4" t="s">
        <v>24</v>
      </c>
      <c r="B29" s="4" t="s">
        <v>32</v>
      </c>
      <c r="C29" s="5" t="n">
        <f aca="false">SUMIFS('Line Items'!$F$2:$F$194,'Line Items'!$D$2:$D$194,$A29,'Line Items'!$E$2:$E$194,$B29,'Line Items'!$C$2:$C$194,"Checking")</f>
        <v>21.66</v>
      </c>
      <c r="D29" s="5" t="n">
        <f aca="false">SUMIFS('Line Items'!$F$2:$F$194,'Line Items'!$D$2:$D$194,$A29,'Line Items'!$E$2:$E$194,$B29,'Line Items'!$C$2:$C$194,"&lt;&gt;Checking")</f>
        <v>304.42</v>
      </c>
      <c r="E29" s="5" t="n">
        <f aca="false">C29+D29</f>
        <v>326.08</v>
      </c>
    </row>
    <row r="30" customFormat="false" ht="15" hidden="false" customHeight="false" outlineLevel="0" collapsed="false">
      <c r="A30" s="4" t="s">
        <v>24</v>
      </c>
      <c r="B30" s="4" t="s">
        <v>33</v>
      </c>
      <c r="C30" s="5" t="n">
        <f aca="false">SUMIFS('Line Items'!$F$2:$F$194,'Line Items'!$D$2:$D$194,$A30,'Line Items'!$E$2:$E$194,$B30,'Line Items'!$C$2:$C$194,"Checking")</f>
        <v>211.4</v>
      </c>
      <c r="D30" s="5" t="n">
        <f aca="false">SUMIFS('Line Items'!$F$2:$F$194,'Line Items'!$D$2:$D$194,$A30,'Line Items'!$E$2:$E$194,$B30,'Line Items'!$C$2:$C$194,"&lt;&gt;Checking")</f>
        <v>67.49</v>
      </c>
      <c r="E30" s="5" t="n">
        <f aca="false">C30+D30</f>
        <v>278.89</v>
      </c>
    </row>
    <row r="31" customFormat="false" ht="15" hidden="false" customHeight="false" outlineLevel="0" collapsed="false">
      <c r="A31" s="4" t="s">
        <v>24</v>
      </c>
      <c r="B31" s="4" t="s">
        <v>34</v>
      </c>
      <c r="C31" s="5" t="n">
        <f aca="false">SUMIFS('Line Items'!$F$2:$F$194,'Line Items'!$D$2:$D$194,$A31,'Line Items'!$E$2:$E$194,$B31,'Line Items'!$C$2:$C$194,"Checking")</f>
        <v>242.45</v>
      </c>
      <c r="D31" s="5" t="n">
        <f aca="false">SUMIFS('Line Items'!$F$2:$F$194,'Line Items'!$D$2:$D$194,$A31,'Line Items'!$E$2:$E$194,$B31,'Line Items'!$C$2:$C$194,"&lt;&gt;Checking")</f>
        <v>0</v>
      </c>
      <c r="E31" s="5" t="n">
        <f aca="false">C31+D31</f>
        <v>242.45</v>
      </c>
    </row>
    <row r="32" customFormat="false" ht="15" hidden="false" customHeight="false" outlineLevel="0" collapsed="false">
      <c r="A32" s="4" t="s">
        <v>24</v>
      </c>
      <c r="B32" s="4" t="s">
        <v>35</v>
      </c>
      <c r="C32" s="5" t="n">
        <f aca="false">SUMIFS('Line Items'!$F$2:$F$194,'Line Items'!$D$2:$D$194,$A32,'Line Items'!$E$2:$E$194,$B32,'Line Items'!$C$2:$C$194,"Checking")</f>
        <v>232.71</v>
      </c>
      <c r="D32" s="5" t="n">
        <f aca="false">SUMIFS('Line Items'!$F$2:$F$194,'Line Items'!$D$2:$D$194,$A32,'Line Items'!$E$2:$E$194,$B32,'Line Items'!$C$2:$C$194,"&lt;&gt;Checking")</f>
        <v>0</v>
      </c>
      <c r="E32" s="5" t="n">
        <f aca="false">C32+D32</f>
        <v>232.71</v>
      </c>
    </row>
    <row r="33" customFormat="false" ht="15" hidden="false" customHeight="false" outlineLevel="0" collapsed="false">
      <c r="A33" s="4" t="s">
        <v>24</v>
      </c>
      <c r="B33" s="4" t="s">
        <v>36</v>
      </c>
      <c r="C33" s="5" t="n">
        <f aca="false">SUMIFS('Line Items'!$F$2:$F$194,'Line Items'!$D$2:$D$194,$A33,'Line Items'!$E$2:$E$194,$B33,'Line Items'!$C$2:$C$194,"Checking")</f>
        <v>175.94</v>
      </c>
      <c r="D33" s="5" t="n">
        <f aca="false">SUMIFS('Line Items'!$F$2:$F$194,'Line Items'!$D$2:$D$194,$A33,'Line Items'!$E$2:$E$194,$B33,'Line Items'!$C$2:$C$194,"&lt;&gt;Checking")</f>
        <v>0</v>
      </c>
      <c r="E33" s="5" t="n">
        <f aca="false">C33+D33</f>
        <v>175.94</v>
      </c>
    </row>
    <row r="34" customFormat="false" ht="15" hidden="false" customHeight="false" outlineLevel="0" collapsed="false">
      <c r="A34" s="4" t="s">
        <v>24</v>
      </c>
      <c r="B34" s="4" t="s">
        <v>37</v>
      </c>
      <c r="C34" s="5" t="n">
        <f aca="false">SUMIFS('Line Items'!$F$2:$F$194,'Line Items'!$D$2:$D$194,$A34,'Line Items'!$E$2:$E$194,$B34,'Line Items'!$C$2:$C$194,"Checking")</f>
        <v>93.04</v>
      </c>
      <c r="D34" s="5" t="n">
        <f aca="false">SUMIFS('Line Items'!$F$2:$F$194,'Line Items'!$D$2:$D$194,$A34,'Line Items'!$E$2:$E$194,$B34,'Line Items'!$C$2:$C$194,"&lt;&gt;Checking")</f>
        <v>0</v>
      </c>
      <c r="E34" s="5" t="n">
        <f aca="false">C34+D34</f>
        <v>93.04</v>
      </c>
    </row>
    <row r="35" customFormat="false" ht="15" hidden="false" customHeight="false" outlineLevel="0" collapsed="false">
      <c r="A35" s="4" t="s">
        <v>24</v>
      </c>
      <c r="B35" s="4" t="s">
        <v>38</v>
      </c>
      <c r="C35" s="5" t="n">
        <f aca="false">SUMIFS('Line Items'!$F$2:$F$194,'Line Items'!$D$2:$D$194,$A35,'Line Items'!$E$2:$E$194,$B35,'Line Items'!$C$2:$C$194,"Checking")</f>
        <v>47.93</v>
      </c>
      <c r="D35" s="5" t="n">
        <f aca="false">SUMIFS('Line Items'!$F$2:$F$194,'Line Items'!$D$2:$D$194,$A35,'Line Items'!$E$2:$E$194,$B35,'Line Items'!$C$2:$C$194,"&lt;&gt;Checking")</f>
        <v>0</v>
      </c>
      <c r="E35" s="5" t="n">
        <f aca="false">C35+D35</f>
        <v>47.93</v>
      </c>
    </row>
    <row r="36" customFormat="false" ht="15" hidden="false" customHeight="false" outlineLevel="0" collapsed="false">
      <c r="A36" s="4" t="s">
        <v>24</v>
      </c>
      <c r="B36" s="4" t="s">
        <v>39</v>
      </c>
      <c r="C36" s="5" t="n">
        <f aca="false">SUMIFS('Line Items'!$F$2:$F$194,'Line Items'!$D$2:$D$194,$A36,'Line Items'!$E$2:$E$194,$B36,'Line Items'!$C$2:$C$194,"Checking")</f>
        <v>0</v>
      </c>
      <c r="D36" s="5" t="n">
        <f aca="false">SUMIFS('Line Items'!$F$2:$F$194,'Line Items'!$D$2:$D$194,$A36,'Line Items'!$E$2:$E$194,$B36,'Line Items'!$C$2:$C$194,"&lt;&gt;Checking")</f>
        <v>40</v>
      </c>
      <c r="E36" s="5" t="n">
        <f aca="false">C36+D36</f>
        <v>40</v>
      </c>
    </row>
    <row r="37" customFormat="false" ht="15" hidden="false" customHeight="false" outlineLevel="0" collapsed="false">
      <c r="A37" s="4" t="s">
        <v>24</v>
      </c>
      <c r="B37" s="4" t="s">
        <v>40</v>
      </c>
      <c r="C37" s="5" t="n">
        <f aca="false">SUMIFS('Line Items'!$F$2:$F$194,'Line Items'!$D$2:$D$194,$A37,'Line Items'!$E$2:$E$194,$B37,'Line Items'!$C$2:$C$194,"Checking")</f>
        <v>40</v>
      </c>
      <c r="D37" s="5" t="n">
        <f aca="false">SUMIFS('Line Items'!$F$2:$F$194,'Line Items'!$D$2:$D$194,$A37,'Line Items'!$E$2:$E$194,$B37,'Line Items'!$C$2:$C$194,"&lt;&gt;Checking")</f>
        <v>0</v>
      </c>
      <c r="E37" s="5" t="n">
        <f aca="false">C37+D37</f>
        <v>40</v>
      </c>
    </row>
    <row r="38" customFormat="false" ht="15" hidden="false" customHeight="false" outlineLevel="0" collapsed="false">
      <c r="A38" s="4" t="s">
        <v>24</v>
      </c>
      <c r="B38" s="4" t="s">
        <v>41</v>
      </c>
      <c r="C38" s="5" t="n">
        <f aca="false">SUMIFS('Line Items'!$F$2:$F$194,'Line Items'!$D$2:$D$194,$A38,'Line Items'!$E$2:$E$194,$B38,'Line Items'!$C$2:$C$194,"Checking")</f>
        <v>7.8</v>
      </c>
      <c r="D38" s="5" t="n">
        <f aca="false">SUMIFS('Line Items'!$F$2:$F$194,'Line Items'!$D$2:$D$194,$A38,'Line Items'!$E$2:$E$194,$B38,'Line Items'!$C$2:$C$194,"&lt;&gt;Checking")</f>
        <v>0</v>
      </c>
      <c r="E38" s="5" t="n">
        <f aca="false">C38+D38</f>
        <v>7.8</v>
      </c>
    </row>
    <row r="39" customFormat="false" ht="15" hidden="false" customHeight="false" outlineLevel="0" collapsed="false">
      <c r="A39" s="4" t="s">
        <v>24</v>
      </c>
      <c r="B39" s="4" t="s">
        <v>42</v>
      </c>
      <c r="C39" s="5" t="n">
        <f aca="false">SUMIFS('Line Items'!$F$2:$F$194,'Line Items'!$D$2:$D$194,$A39,'Line Items'!$E$2:$E$194,$B39,'Line Items'!$C$2:$C$194,"Checking")</f>
        <v>7</v>
      </c>
      <c r="D39" s="5" t="n">
        <f aca="false">SUMIFS('Line Items'!$F$2:$F$194,'Line Items'!$D$2:$D$194,$A39,'Line Items'!$E$2:$E$194,$B39,'Line Items'!$C$2:$C$194,"&lt;&gt;Checking")</f>
        <v>0</v>
      </c>
      <c r="E39" s="5" t="n">
        <f aca="false">C39+D39</f>
        <v>7</v>
      </c>
    </row>
    <row r="40" customFormat="false" ht="15" hidden="false" customHeight="false" outlineLevel="0" collapsed="false">
      <c r="A40" s="6" t="s">
        <v>43</v>
      </c>
      <c r="B40" s="6"/>
      <c r="C40" s="7" t="n">
        <f aca="false">SUM(C22:C39)</f>
        <v>7566.28</v>
      </c>
      <c r="D40" s="7" t="n">
        <f aca="false">SUM(D22:D39)</f>
        <v>826.29</v>
      </c>
      <c r="E40" s="7" t="n">
        <f aca="false">SUM(E22:E39)</f>
        <v>8392.57</v>
      </c>
    </row>
    <row r="41" customFormat="false" ht="15" hidden="false" customHeight="false" outlineLevel="0" collapsed="false">
      <c r="C41" s="8"/>
      <c r="D41" s="8"/>
      <c r="E41" s="8"/>
    </row>
    <row r="42" customFormat="false" ht="15" hidden="false" customHeight="false" outlineLevel="0" collapsed="false">
      <c r="A42" s="4" t="s">
        <v>44</v>
      </c>
      <c r="B42" s="4" t="s">
        <v>45</v>
      </c>
      <c r="C42" s="5" t="n">
        <f aca="false">SUMIFS('Line Items'!$F$2:$F$194,'Line Items'!$D$2:$D$194,$A42,'Line Items'!$E$2:$E$194,$B42,'Line Items'!$C$2:$C$194,"Checking")</f>
        <v>1120.71</v>
      </c>
      <c r="D42" s="5" t="n">
        <f aca="false">SUMIFS('Line Items'!$F$2:$F$194,'Line Items'!$D$2:$D$194,$A42,'Line Items'!$E$2:$E$194,$B42,'Line Items'!$C$2:$C$194,"&lt;&gt;Checking")</f>
        <v>0</v>
      </c>
      <c r="E42" s="5" t="n">
        <f aca="false">C42+D42</f>
        <v>1120.71</v>
      </c>
    </row>
    <row r="43" customFormat="false" ht="15" hidden="false" customHeight="false" outlineLevel="0" collapsed="false">
      <c r="A43" s="4" t="s">
        <v>44</v>
      </c>
      <c r="B43" s="4" t="s">
        <v>46</v>
      </c>
      <c r="C43" s="5" t="n">
        <f aca="false">SUMIFS('Line Items'!$F$2:$F$194,'Line Items'!$D$2:$D$194,$A43,'Line Items'!$E$2:$E$194,$B43,'Line Items'!$C$2:$C$194,"Checking")</f>
        <v>709.9</v>
      </c>
      <c r="D43" s="5" t="n">
        <f aca="false">SUMIFS('Line Items'!$F$2:$F$194,'Line Items'!$D$2:$D$194,$A43,'Line Items'!$E$2:$E$194,$B43,'Line Items'!$C$2:$C$194,"&lt;&gt;Checking")</f>
        <v>0</v>
      </c>
      <c r="E43" s="5" t="n">
        <f aca="false">C43+D43</f>
        <v>709.9</v>
      </c>
    </row>
    <row r="44" customFormat="false" ht="15" hidden="false" customHeight="false" outlineLevel="0" collapsed="false">
      <c r="A44" s="4" t="s">
        <v>44</v>
      </c>
      <c r="B44" s="4" t="s">
        <v>47</v>
      </c>
      <c r="C44" s="5" t="n">
        <f aca="false">SUMIFS('Line Items'!$F$2:$F$194,'Line Items'!$D$2:$D$194,$A44,'Line Items'!$E$2:$E$194,$B44,'Line Items'!$C$2:$C$194,"Checking")</f>
        <v>706.36</v>
      </c>
      <c r="D44" s="5" t="n">
        <f aca="false">SUMIFS('Line Items'!$F$2:$F$194,'Line Items'!$D$2:$D$194,$A44,'Line Items'!$E$2:$E$194,$B44,'Line Items'!$C$2:$C$194,"&lt;&gt;Checking")</f>
        <v>0</v>
      </c>
      <c r="E44" s="5" t="n">
        <f aca="false">C44+D44</f>
        <v>706.36</v>
      </c>
    </row>
    <row r="45" customFormat="false" ht="15" hidden="false" customHeight="false" outlineLevel="0" collapsed="false">
      <c r="A45" s="4" t="s">
        <v>44</v>
      </c>
      <c r="B45" s="4" t="s">
        <v>48</v>
      </c>
      <c r="C45" s="5" t="n">
        <f aca="false">SUMIFS('Line Items'!$F$2:$F$194,'Line Items'!$D$2:$D$194,$A45,'Line Items'!$E$2:$E$194,$B45,'Line Items'!$C$2:$C$194,"Checking")</f>
        <v>500</v>
      </c>
      <c r="D45" s="5" t="n">
        <f aca="false">SUMIFS('Line Items'!$F$2:$F$194,'Line Items'!$D$2:$D$194,$A45,'Line Items'!$E$2:$E$194,$B45,'Line Items'!$C$2:$C$194,"&lt;&gt;Checking")</f>
        <v>0</v>
      </c>
      <c r="E45" s="5" t="n">
        <f aca="false">C45+D45</f>
        <v>500</v>
      </c>
    </row>
    <row r="46" customFormat="false" ht="15" hidden="false" customHeight="false" outlineLevel="0" collapsed="false">
      <c r="A46" s="4" t="s">
        <v>44</v>
      </c>
      <c r="B46" s="4" t="s">
        <v>49</v>
      </c>
      <c r="C46" s="5" t="n">
        <f aca="false">SUMIFS('Line Items'!$F$2:$F$194,'Line Items'!$D$2:$D$194,$A46,'Line Items'!$E$2:$E$194,$B46,'Line Items'!$C$2:$C$194,"Checking")</f>
        <v>214.19</v>
      </c>
      <c r="D46" s="5" t="n">
        <f aca="false">SUMIFS('Line Items'!$F$2:$F$194,'Line Items'!$D$2:$D$194,$A46,'Line Items'!$E$2:$E$194,$B46,'Line Items'!$C$2:$C$194,"&lt;&gt;Checking")</f>
        <v>0</v>
      </c>
      <c r="E46" s="5" t="n">
        <f aca="false">C46+D46</f>
        <v>214.19</v>
      </c>
    </row>
    <row r="47" customFormat="false" ht="15" hidden="false" customHeight="false" outlineLevel="0" collapsed="false">
      <c r="A47" s="4" t="s">
        <v>44</v>
      </c>
      <c r="B47" s="4" t="s">
        <v>50</v>
      </c>
      <c r="C47" s="5" t="n">
        <f aca="false">SUMIFS('Line Items'!$F$2:$F$194,'Line Items'!$D$2:$D$194,$A47,'Line Items'!$E$2:$E$194,$B47,'Line Items'!$C$2:$C$194,"Checking")</f>
        <v>150.4</v>
      </c>
      <c r="D47" s="5" t="n">
        <f aca="false">SUMIFS('Line Items'!$F$2:$F$194,'Line Items'!$D$2:$D$194,$A47,'Line Items'!$E$2:$E$194,$B47,'Line Items'!$C$2:$C$194,"&lt;&gt;Checking")</f>
        <v>0</v>
      </c>
      <c r="E47" s="5" t="n">
        <f aca="false">C47+D47</f>
        <v>150.4</v>
      </c>
    </row>
    <row r="48" customFormat="false" ht="15" hidden="false" customHeight="false" outlineLevel="0" collapsed="false">
      <c r="A48" s="4" t="s">
        <v>44</v>
      </c>
      <c r="B48" s="4" t="s">
        <v>51</v>
      </c>
      <c r="C48" s="5" t="n">
        <f aca="false">SUMIFS('Line Items'!$F$2:$F$194,'Line Items'!$D$2:$D$194,$A48,'Line Items'!$E$2:$E$194,$B48,'Line Items'!$C$2:$C$194,"Checking")</f>
        <v>0</v>
      </c>
      <c r="D48" s="5" t="n">
        <f aca="false">SUMIFS('Line Items'!$F$2:$F$194,'Line Items'!$D$2:$D$194,$A48,'Line Items'!$E$2:$E$194,$B48,'Line Items'!$C$2:$C$194,"&lt;&gt;Checking")</f>
        <v>46.5</v>
      </c>
      <c r="E48" s="5" t="n">
        <f aca="false">C48+D48</f>
        <v>46.5</v>
      </c>
    </row>
    <row r="49" customFormat="false" ht="15" hidden="false" customHeight="false" outlineLevel="0" collapsed="false">
      <c r="A49" s="4" t="s">
        <v>44</v>
      </c>
      <c r="B49" s="4" t="s">
        <v>52</v>
      </c>
      <c r="C49" s="5" t="n">
        <f aca="false">SUMIFS('Line Items'!$F$2:$F$194,'Line Items'!$D$2:$D$194,$A49,'Line Items'!$E$2:$E$194,$B49,'Line Items'!$C$2:$C$194,"Checking")</f>
        <v>0</v>
      </c>
      <c r="D49" s="5" t="n">
        <f aca="false">SUMIFS('Line Items'!$F$2:$F$194,'Line Items'!$D$2:$D$194,$A49,'Line Items'!$E$2:$E$194,$B49,'Line Items'!$C$2:$C$194,"&lt;&gt;Checking")</f>
        <v>27</v>
      </c>
      <c r="E49" s="5" t="n">
        <f aca="false">C49+D49</f>
        <v>27</v>
      </c>
    </row>
    <row r="50" customFormat="false" ht="15" hidden="false" customHeight="false" outlineLevel="0" collapsed="false">
      <c r="A50" s="4" t="s">
        <v>44</v>
      </c>
      <c r="B50" s="4" t="s">
        <v>53</v>
      </c>
      <c r="C50" s="5" t="n">
        <f aca="false">SUMIFS('Line Items'!$F$2:$F$194,'Line Items'!$D$2:$D$194,$A50,'Line Items'!$E$2:$E$194,$B50,'Line Items'!$C$2:$C$194,"Checking")</f>
        <v>0</v>
      </c>
      <c r="D50" s="5" t="n">
        <f aca="false">SUMIFS('Line Items'!$F$2:$F$194,'Line Items'!$D$2:$D$194,$A50,'Line Items'!$E$2:$E$194,$B50,'Line Items'!$C$2:$C$194,"&lt;&gt;Checking")</f>
        <v>15.9</v>
      </c>
      <c r="E50" s="5" t="n">
        <f aca="false">C50+D50</f>
        <v>15.9</v>
      </c>
    </row>
    <row r="51" customFormat="false" ht="15" hidden="false" customHeight="false" outlineLevel="0" collapsed="false">
      <c r="A51" s="4" t="s">
        <v>44</v>
      </c>
      <c r="B51" s="4" t="s">
        <v>54</v>
      </c>
      <c r="C51" s="5" t="n">
        <f aca="false">SUMIFS('Line Items'!$F$2:$F$194,'Line Items'!$D$2:$D$194,$A51,'Line Items'!$E$2:$E$194,$B51,'Line Items'!$C$2:$C$194,"Checking")</f>
        <v>0</v>
      </c>
      <c r="D51" s="5" t="n">
        <f aca="false">SUMIFS('Line Items'!$F$2:$F$194,'Line Items'!$D$2:$D$194,$A51,'Line Items'!$E$2:$E$194,$B51,'Line Items'!$C$2:$C$194,"&lt;&gt;Checking")</f>
        <v>5.68</v>
      </c>
      <c r="E51" s="5" t="n">
        <f aca="false">C51+D51</f>
        <v>5.68</v>
      </c>
    </row>
    <row r="52" customFormat="false" ht="15" hidden="false" customHeight="false" outlineLevel="0" collapsed="false">
      <c r="A52" s="6" t="s">
        <v>55</v>
      </c>
      <c r="B52" s="6"/>
      <c r="C52" s="7" t="n">
        <f aca="false">SUM(C42:C51)</f>
        <v>3401.56</v>
      </c>
      <c r="D52" s="7" t="n">
        <f aca="false">SUM(D42:D51)</f>
        <v>95.08</v>
      </c>
      <c r="E52" s="7" t="n">
        <f aca="false">SUM(E42:E51)</f>
        <v>3496.64</v>
      </c>
    </row>
    <row r="53" customFormat="false" ht="15" hidden="false" customHeight="false" outlineLevel="0" collapsed="false">
      <c r="C53" s="8"/>
      <c r="D53" s="8"/>
      <c r="E53" s="8"/>
    </row>
    <row r="54" customFormat="false" ht="15" hidden="false" customHeight="false" outlineLevel="0" collapsed="false">
      <c r="A54" s="9" t="s">
        <v>56</v>
      </c>
      <c r="B54" s="9"/>
      <c r="C54" s="10" t="n">
        <f aca="false">C20+C40+C52</f>
        <v>12812.17</v>
      </c>
      <c r="D54" s="10" t="n">
        <f aca="false">D20+D40+D52</f>
        <v>1232.26</v>
      </c>
      <c r="E54" s="10" t="n">
        <f aca="false">E20+E40+E52</f>
        <v>14044.43</v>
      </c>
    </row>
    <row r="55" customFormat="false" ht="15" hidden="false" customHeight="false" outlineLevel="0" collapsed="false">
      <c r="B55" s="2" t="s">
        <v>57</v>
      </c>
      <c r="E55" s="2" t="str">
        <f aca="false">IF(ROUND(E54-'Line Items'!F195,2)=0,"OK","MISMATCH")</f>
        <v>OK</v>
      </c>
    </row>
    <row r="57" customFormat="false" ht="15" hidden="false" customHeight="false" outlineLevel="0" collapsed="false">
      <c r="A57" s="11" t="s">
        <v>58</v>
      </c>
    </row>
    <row r="58" customFormat="false" ht="15" hidden="false" customHeight="false" outlineLevel="0" collapsed="false">
      <c r="A58" s="4" t="s">
        <v>59</v>
      </c>
      <c r="B58" s="4" t="s">
        <v>60</v>
      </c>
      <c r="E58" s="5" t="n">
        <v>10.74</v>
      </c>
    </row>
    <row r="59" customFormat="false" ht="15" hidden="false" customHeight="false" outlineLevel="0" collapsed="false">
      <c r="A59" s="4" t="s">
        <v>61</v>
      </c>
      <c r="B59" s="4" t="s">
        <v>62</v>
      </c>
      <c r="E59" s="5" t="n">
        <v>13.06</v>
      </c>
    </row>
    <row r="60" customFormat="false" ht="15" hidden="false" customHeight="false" outlineLevel="0" collapsed="false">
      <c r="B60" s="11" t="s">
        <v>63</v>
      </c>
      <c r="E60" s="12" t="n">
        <f aca="false">SUM(E58:E59)</f>
        <v>23.8</v>
      </c>
    </row>
    <row r="62" customFormat="false" ht="15" hidden="false" customHeight="false" outlineLevel="0" collapsed="false">
      <c r="A62" s="13" t="s">
        <v>64</v>
      </c>
    </row>
    <row r="63" customFormat="false" ht="15" hidden="false" customHeight="false" outlineLevel="0" collapsed="false">
      <c r="A63" s="14" t="s">
        <v>65</v>
      </c>
    </row>
    <row r="64" customFormat="false" ht="15" hidden="false" customHeight="false" outlineLevel="0" collapsed="false">
      <c r="A64" s="14" t="s">
        <v>66</v>
      </c>
    </row>
    <row r="65" customFormat="false" ht="15" hidden="false" customHeight="false" outlineLevel="0" collapsed="false">
      <c r="A65" s="14" t="s">
        <v>67</v>
      </c>
    </row>
    <row r="66" customFormat="false" ht="15" hidden="false" customHeight="false" outlineLevel="0" collapsed="false">
      <c r="A66" s="14" t="s">
        <v>68</v>
      </c>
    </row>
    <row r="67" customFormat="false" ht="15" hidden="false" customHeight="false" outlineLevel="0" collapsed="false">
      <c r="A67" s="1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70</v>
      </c>
      <c r="B1" s="3" t="s">
        <v>71</v>
      </c>
      <c r="C1" s="3" t="s">
        <v>72</v>
      </c>
      <c r="D1" s="3" t="s">
        <v>2</v>
      </c>
      <c r="E1" s="3" t="s">
        <v>3</v>
      </c>
      <c r="F1" s="3" t="s">
        <v>73</v>
      </c>
    </row>
    <row r="2" customFormat="false" ht="15" hidden="false" customHeight="false" outlineLevel="0" collapsed="false">
      <c r="A2" s="4" t="s">
        <v>74</v>
      </c>
      <c r="B2" s="4" t="s">
        <v>75</v>
      </c>
      <c r="C2" s="4" t="s">
        <v>76</v>
      </c>
      <c r="D2" s="4" t="s">
        <v>24</v>
      </c>
      <c r="E2" s="4" t="s">
        <v>35</v>
      </c>
      <c r="F2" s="5" t="n">
        <v>39.41</v>
      </c>
    </row>
    <row r="3" customFormat="false" ht="15" hidden="false" customHeight="false" outlineLevel="0" collapsed="false">
      <c r="A3" s="4" t="s">
        <v>74</v>
      </c>
      <c r="B3" s="4" t="s">
        <v>77</v>
      </c>
      <c r="C3" s="4" t="s">
        <v>76</v>
      </c>
      <c r="D3" s="4" t="s">
        <v>24</v>
      </c>
      <c r="E3" s="4" t="s">
        <v>26</v>
      </c>
      <c r="F3" s="5" t="n">
        <v>23.59</v>
      </c>
    </row>
    <row r="4" customFormat="false" ht="15" hidden="false" customHeight="false" outlineLevel="0" collapsed="false">
      <c r="A4" s="4" t="s">
        <v>74</v>
      </c>
      <c r="B4" s="4" t="s">
        <v>78</v>
      </c>
      <c r="C4" s="4" t="s">
        <v>76</v>
      </c>
      <c r="D4" s="4" t="s">
        <v>24</v>
      </c>
      <c r="E4" s="4" t="s">
        <v>33</v>
      </c>
      <c r="F4" s="5" t="n">
        <v>80.45</v>
      </c>
    </row>
    <row r="5" customFormat="false" ht="15" hidden="false" customHeight="false" outlineLevel="0" collapsed="false">
      <c r="A5" s="4" t="s">
        <v>74</v>
      </c>
      <c r="B5" s="4" t="s">
        <v>79</v>
      </c>
      <c r="C5" s="4" t="s">
        <v>76</v>
      </c>
      <c r="D5" s="4" t="s">
        <v>24</v>
      </c>
      <c r="E5" s="4" t="s">
        <v>34</v>
      </c>
      <c r="F5" s="5" t="n">
        <v>80.64</v>
      </c>
    </row>
    <row r="6" customFormat="false" ht="15" hidden="false" customHeight="false" outlineLevel="0" collapsed="false">
      <c r="A6" s="4" t="s">
        <v>74</v>
      </c>
      <c r="B6" s="4" t="s">
        <v>80</v>
      </c>
      <c r="C6" s="4" t="s">
        <v>81</v>
      </c>
      <c r="D6" s="4" t="s">
        <v>24</v>
      </c>
      <c r="E6" s="4" t="s">
        <v>31</v>
      </c>
      <c r="F6" s="5" t="n">
        <v>31.99</v>
      </c>
    </row>
    <row r="7" customFormat="false" ht="15" hidden="false" customHeight="false" outlineLevel="0" collapsed="false">
      <c r="A7" s="4" t="s">
        <v>74</v>
      </c>
      <c r="B7" s="4" t="s">
        <v>80</v>
      </c>
      <c r="C7" s="4" t="s">
        <v>81</v>
      </c>
      <c r="D7" s="4" t="s">
        <v>24</v>
      </c>
      <c r="E7" s="4" t="s">
        <v>31</v>
      </c>
      <c r="F7" s="5" t="n">
        <v>299.01</v>
      </c>
    </row>
    <row r="8" customFormat="false" ht="15" hidden="false" customHeight="false" outlineLevel="0" collapsed="false">
      <c r="A8" s="4" t="s">
        <v>82</v>
      </c>
      <c r="B8" s="4" t="s">
        <v>83</v>
      </c>
      <c r="C8" s="4" t="s">
        <v>76</v>
      </c>
      <c r="D8" s="4" t="s">
        <v>24</v>
      </c>
      <c r="E8" s="4" t="s">
        <v>28</v>
      </c>
      <c r="F8" s="5" t="n">
        <v>9.74</v>
      </c>
    </row>
    <row r="9" customFormat="false" ht="15" hidden="false" customHeight="false" outlineLevel="0" collapsed="false">
      <c r="A9" s="4" t="s">
        <v>82</v>
      </c>
      <c r="B9" s="4" t="s">
        <v>84</v>
      </c>
      <c r="C9" s="4" t="s">
        <v>76</v>
      </c>
      <c r="D9" s="4" t="s">
        <v>24</v>
      </c>
      <c r="E9" s="4" t="s">
        <v>25</v>
      </c>
      <c r="F9" s="5" t="n">
        <v>680</v>
      </c>
    </row>
    <row r="10" customFormat="false" ht="15" hidden="false" customHeight="false" outlineLevel="0" collapsed="false">
      <c r="A10" s="4" t="s">
        <v>82</v>
      </c>
      <c r="B10" s="4" t="s">
        <v>85</v>
      </c>
      <c r="C10" s="4" t="s">
        <v>76</v>
      </c>
      <c r="D10" s="4" t="s">
        <v>24</v>
      </c>
      <c r="E10" s="4" t="s">
        <v>25</v>
      </c>
      <c r="F10" s="5" t="n">
        <v>46.22</v>
      </c>
    </row>
    <row r="11" customFormat="false" ht="15" hidden="false" customHeight="false" outlineLevel="0" collapsed="false">
      <c r="A11" s="4" t="s">
        <v>82</v>
      </c>
      <c r="B11" s="4" t="s">
        <v>86</v>
      </c>
      <c r="C11" s="4" t="s">
        <v>76</v>
      </c>
      <c r="D11" s="4" t="s">
        <v>24</v>
      </c>
      <c r="E11" s="4" t="s">
        <v>25</v>
      </c>
      <c r="F11" s="5" t="n">
        <v>69</v>
      </c>
    </row>
    <row r="12" customFormat="false" ht="15" hidden="false" customHeight="false" outlineLevel="0" collapsed="false">
      <c r="A12" s="4" t="s">
        <v>82</v>
      </c>
      <c r="B12" s="4" t="s">
        <v>87</v>
      </c>
      <c r="C12" s="4" t="s">
        <v>76</v>
      </c>
      <c r="D12" s="4" t="s">
        <v>24</v>
      </c>
      <c r="E12" s="4" t="s">
        <v>38</v>
      </c>
      <c r="F12" s="5" t="n">
        <v>47.93</v>
      </c>
    </row>
    <row r="13" customFormat="false" ht="15" hidden="false" customHeight="false" outlineLevel="0" collapsed="false">
      <c r="A13" s="4" t="s">
        <v>82</v>
      </c>
      <c r="B13" s="4" t="s">
        <v>88</v>
      </c>
      <c r="C13" s="4" t="s">
        <v>76</v>
      </c>
      <c r="D13" s="4" t="s">
        <v>24</v>
      </c>
      <c r="E13" s="4" t="s">
        <v>26</v>
      </c>
      <c r="F13" s="5" t="n">
        <v>74.73</v>
      </c>
    </row>
    <row r="14" customFormat="false" ht="15" hidden="false" customHeight="false" outlineLevel="0" collapsed="false">
      <c r="A14" s="4" t="s">
        <v>82</v>
      </c>
      <c r="B14" s="4" t="s">
        <v>89</v>
      </c>
      <c r="C14" s="4" t="s">
        <v>76</v>
      </c>
      <c r="D14" s="4" t="s">
        <v>24</v>
      </c>
      <c r="E14" s="4" t="s">
        <v>27</v>
      </c>
      <c r="F14" s="5" t="n">
        <v>187.61</v>
      </c>
    </row>
    <row r="15" customFormat="false" ht="15" hidden="false" customHeight="false" outlineLevel="0" collapsed="false">
      <c r="A15" s="4" t="s">
        <v>82</v>
      </c>
      <c r="B15" s="4" t="s">
        <v>90</v>
      </c>
      <c r="C15" s="4" t="s">
        <v>76</v>
      </c>
      <c r="D15" s="4" t="s">
        <v>24</v>
      </c>
      <c r="E15" s="4" t="s">
        <v>25</v>
      </c>
      <c r="F15" s="5" t="n">
        <v>22</v>
      </c>
    </row>
    <row r="16" customFormat="false" ht="15" hidden="false" customHeight="false" outlineLevel="0" collapsed="false">
      <c r="A16" s="4" t="s">
        <v>82</v>
      </c>
      <c r="B16" s="4" t="s">
        <v>91</v>
      </c>
      <c r="C16" s="4" t="s">
        <v>92</v>
      </c>
      <c r="D16" s="4" t="s">
        <v>24</v>
      </c>
      <c r="E16" s="4" t="s">
        <v>30</v>
      </c>
      <c r="F16" s="5" t="n">
        <v>53.38</v>
      </c>
    </row>
    <row r="17" customFormat="false" ht="15" hidden="false" customHeight="false" outlineLevel="0" collapsed="false">
      <c r="A17" s="4" t="s">
        <v>93</v>
      </c>
      <c r="B17" s="4" t="s">
        <v>94</v>
      </c>
      <c r="C17" s="4" t="s">
        <v>76</v>
      </c>
      <c r="D17" s="4" t="s">
        <v>24</v>
      </c>
      <c r="E17" s="4" t="s">
        <v>28</v>
      </c>
      <c r="F17" s="5" t="n">
        <v>-174.79</v>
      </c>
    </row>
    <row r="18" customFormat="false" ht="15" hidden="false" customHeight="false" outlineLevel="0" collapsed="false">
      <c r="A18" s="4" t="s">
        <v>93</v>
      </c>
      <c r="B18" s="4" t="s">
        <v>95</v>
      </c>
      <c r="C18" s="4" t="s">
        <v>76</v>
      </c>
      <c r="D18" s="4" t="s">
        <v>24</v>
      </c>
      <c r="E18" s="4" t="s">
        <v>25</v>
      </c>
      <c r="F18" s="5" t="n">
        <v>140</v>
      </c>
    </row>
    <row r="19" customFormat="false" ht="15" hidden="false" customHeight="false" outlineLevel="0" collapsed="false">
      <c r="A19" s="4" t="s">
        <v>93</v>
      </c>
      <c r="B19" s="4" t="s">
        <v>96</v>
      </c>
      <c r="C19" s="4" t="s">
        <v>76</v>
      </c>
      <c r="D19" s="4" t="s">
        <v>24</v>
      </c>
      <c r="E19" s="4" t="s">
        <v>25</v>
      </c>
      <c r="F19" s="5" t="n">
        <v>4</v>
      </c>
    </row>
    <row r="20" customFormat="false" ht="15" hidden="false" customHeight="false" outlineLevel="0" collapsed="false">
      <c r="A20" s="4" t="s">
        <v>93</v>
      </c>
      <c r="B20" s="4" t="s">
        <v>97</v>
      </c>
      <c r="C20" s="4" t="s">
        <v>76</v>
      </c>
      <c r="D20" s="4" t="s">
        <v>24</v>
      </c>
      <c r="E20" s="4" t="s">
        <v>29</v>
      </c>
      <c r="F20" s="5" t="n">
        <v>67.89</v>
      </c>
    </row>
    <row r="21" customFormat="false" ht="15" hidden="false" customHeight="false" outlineLevel="0" collapsed="false">
      <c r="A21" s="4" t="s">
        <v>93</v>
      </c>
      <c r="B21" s="4" t="s">
        <v>98</v>
      </c>
      <c r="C21" s="4" t="s">
        <v>76</v>
      </c>
      <c r="D21" s="4" t="s">
        <v>24</v>
      </c>
      <c r="E21" s="4" t="s">
        <v>25</v>
      </c>
      <c r="F21" s="5" t="n">
        <v>11.79</v>
      </c>
    </row>
    <row r="22" customFormat="false" ht="15" hidden="false" customHeight="false" outlineLevel="0" collapsed="false">
      <c r="A22" s="4" t="s">
        <v>93</v>
      </c>
      <c r="B22" s="4" t="s">
        <v>99</v>
      </c>
      <c r="C22" s="4" t="s">
        <v>76</v>
      </c>
      <c r="D22" s="4" t="s">
        <v>24</v>
      </c>
      <c r="E22" s="4" t="s">
        <v>26</v>
      </c>
      <c r="F22" s="5" t="n">
        <v>147.37</v>
      </c>
    </row>
    <row r="23" customFormat="false" ht="15" hidden="false" customHeight="false" outlineLevel="0" collapsed="false">
      <c r="A23" s="4" t="s">
        <v>93</v>
      </c>
      <c r="B23" s="4" t="s">
        <v>100</v>
      </c>
      <c r="C23" s="4" t="s">
        <v>76</v>
      </c>
      <c r="D23" s="4" t="s">
        <v>24</v>
      </c>
      <c r="E23" s="4" t="s">
        <v>26</v>
      </c>
      <c r="F23" s="5" t="n">
        <v>24.74</v>
      </c>
    </row>
    <row r="24" customFormat="false" ht="15" hidden="false" customHeight="false" outlineLevel="0" collapsed="false">
      <c r="A24" s="4" t="s">
        <v>93</v>
      </c>
      <c r="B24" s="4" t="s">
        <v>101</v>
      </c>
      <c r="C24" s="4" t="s">
        <v>76</v>
      </c>
      <c r="D24" s="4" t="s">
        <v>24</v>
      </c>
      <c r="E24" s="4" t="s">
        <v>27</v>
      </c>
      <c r="F24" s="5" t="n">
        <v>202.09</v>
      </c>
    </row>
    <row r="25" customFormat="false" ht="15" hidden="false" customHeight="false" outlineLevel="0" collapsed="false">
      <c r="A25" s="4" t="s">
        <v>102</v>
      </c>
      <c r="B25" s="4" t="s">
        <v>103</v>
      </c>
      <c r="C25" s="4" t="s">
        <v>76</v>
      </c>
      <c r="D25" s="4" t="s">
        <v>24</v>
      </c>
      <c r="E25" s="4" t="s">
        <v>28</v>
      </c>
      <c r="F25" s="5" t="n">
        <v>14.08</v>
      </c>
    </row>
    <row r="26" customFormat="false" ht="15" hidden="false" customHeight="false" outlineLevel="0" collapsed="false">
      <c r="A26" s="4" t="s">
        <v>102</v>
      </c>
      <c r="B26" s="4" t="s">
        <v>104</v>
      </c>
      <c r="C26" s="4" t="s">
        <v>76</v>
      </c>
      <c r="D26" s="4" t="s">
        <v>44</v>
      </c>
      <c r="E26" s="4" t="s">
        <v>50</v>
      </c>
      <c r="F26" s="5" t="n">
        <v>75.2</v>
      </c>
    </row>
    <row r="27" customFormat="false" ht="15" hidden="false" customHeight="false" outlineLevel="0" collapsed="false">
      <c r="A27" s="4" t="s">
        <v>102</v>
      </c>
      <c r="B27" s="4" t="s">
        <v>105</v>
      </c>
      <c r="C27" s="4" t="s">
        <v>76</v>
      </c>
      <c r="D27" s="4" t="s">
        <v>24</v>
      </c>
      <c r="E27" s="4" t="s">
        <v>25</v>
      </c>
      <c r="F27" s="5" t="n">
        <v>16.25</v>
      </c>
    </row>
    <row r="28" customFormat="false" ht="15" hidden="false" customHeight="false" outlineLevel="0" collapsed="false">
      <c r="A28" s="4" t="s">
        <v>102</v>
      </c>
      <c r="B28" s="4" t="s">
        <v>106</v>
      </c>
      <c r="C28" s="4" t="s">
        <v>76</v>
      </c>
      <c r="D28" s="4" t="s">
        <v>24</v>
      </c>
      <c r="E28" s="4" t="s">
        <v>25</v>
      </c>
      <c r="F28" s="5" t="n">
        <v>99</v>
      </c>
    </row>
    <row r="29" customFormat="false" ht="15" hidden="false" customHeight="false" outlineLevel="0" collapsed="false">
      <c r="A29" s="4" t="s">
        <v>102</v>
      </c>
      <c r="B29" s="4" t="s">
        <v>107</v>
      </c>
      <c r="C29" s="4" t="s">
        <v>76</v>
      </c>
      <c r="D29" s="4" t="s">
        <v>24</v>
      </c>
      <c r="E29" s="4" t="s">
        <v>25</v>
      </c>
      <c r="F29" s="5" t="n">
        <v>17.99</v>
      </c>
    </row>
    <row r="30" customFormat="false" ht="15" hidden="false" customHeight="false" outlineLevel="0" collapsed="false">
      <c r="A30" s="4" t="s">
        <v>102</v>
      </c>
      <c r="B30" s="4" t="s">
        <v>108</v>
      </c>
      <c r="C30" s="4" t="s">
        <v>76</v>
      </c>
      <c r="D30" s="4" t="s">
        <v>24</v>
      </c>
      <c r="E30" s="4" t="s">
        <v>26</v>
      </c>
      <c r="F30" s="5" t="n">
        <v>104.63</v>
      </c>
    </row>
    <row r="31" customFormat="false" ht="15" hidden="false" customHeight="false" outlineLevel="0" collapsed="false">
      <c r="A31" s="4" t="s">
        <v>102</v>
      </c>
      <c r="B31" s="4" t="s">
        <v>109</v>
      </c>
      <c r="C31" s="4" t="s">
        <v>110</v>
      </c>
      <c r="D31" s="4" t="s">
        <v>44</v>
      </c>
      <c r="E31" s="4" t="s">
        <v>51</v>
      </c>
      <c r="F31" s="5" t="n">
        <v>8.25</v>
      </c>
    </row>
    <row r="32" customFormat="false" ht="15" hidden="false" customHeight="false" outlineLevel="0" collapsed="false">
      <c r="A32" s="4" t="s">
        <v>102</v>
      </c>
      <c r="B32" s="4" t="s">
        <v>111</v>
      </c>
      <c r="C32" s="4" t="s">
        <v>110</v>
      </c>
      <c r="D32" s="4" t="s">
        <v>44</v>
      </c>
      <c r="E32" s="4" t="s">
        <v>51</v>
      </c>
      <c r="F32" s="5" t="n">
        <v>8.25</v>
      </c>
    </row>
    <row r="33" customFormat="false" ht="15" hidden="false" customHeight="false" outlineLevel="0" collapsed="false">
      <c r="A33" s="4" t="s">
        <v>112</v>
      </c>
      <c r="B33" s="4" t="s">
        <v>111</v>
      </c>
      <c r="C33" s="4" t="s">
        <v>113</v>
      </c>
      <c r="D33" s="4" t="s">
        <v>44</v>
      </c>
      <c r="E33" s="4" t="s">
        <v>52</v>
      </c>
      <c r="F33" s="5" t="n">
        <v>27</v>
      </c>
    </row>
    <row r="34" customFormat="false" ht="15" hidden="false" customHeight="false" outlineLevel="0" collapsed="false">
      <c r="A34" s="4" t="s">
        <v>114</v>
      </c>
      <c r="B34" s="4" t="s">
        <v>115</v>
      </c>
      <c r="C34" s="4" t="s">
        <v>81</v>
      </c>
      <c r="D34" s="4" t="s">
        <v>24</v>
      </c>
      <c r="E34" s="4" t="s">
        <v>33</v>
      </c>
      <c r="F34" s="5" t="n">
        <v>67.49</v>
      </c>
    </row>
    <row r="35" customFormat="false" ht="15" hidden="false" customHeight="false" outlineLevel="0" collapsed="false">
      <c r="A35" s="4" t="s">
        <v>116</v>
      </c>
      <c r="B35" s="4" t="s">
        <v>117</v>
      </c>
      <c r="C35" s="4" t="s">
        <v>76</v>
      </c>
      <c r="D35" s="4" t="s">
        <v>24</v>
      </c>
      <c r="E35" s="4" t="s">
        <v>25</v>
      </c>
      <c r="F35" s="5" t="n">
        <v>45.52</v>
      </c>
    </row>
    <row r="36" customFormat="false" ht="15" hidden="false" customHeight="false" outlineLevel="0" collapsed="false">
      <c r="A36" s="4" t="s">
        <v>116</v>
      </c>
      <c r="B36" s="4" t="s">
        <v>118</v>
      </c>
      <c r="C36" s="4" t="s">
        <v>76</v>
      </c>
      <c r="D36" s="4" t="s">
        <v>24</v>
      </c>
      <c r="E36" s="4" t="s">
        <v>28</v>
      </c>
      <c r="F36" s="5" t="n">
        <v>28.16</v>
      </c>
    </row>
    <row r="37" customFormat="false" ht="15" hidden="false" customHeight="false" outlineLevel="0" collapsed="false">
      <c r="A37" s="4" t="s">
        <v>116</v>
      </c>
      <c r="B37" s="4" t="s">
        <v>119</v>
      </c>
      <c r="C37" s="4" t="s">
        <v>76</v>
      </c>
      <c r="D37" s="4" t="s">
        <v>24</v>
      </c>
      <c r="E37" s="4" t="s">
        <v>28</v>
      </c>
      <c r="F37" s="5" t="n">
        <v>7.58</v>
      </c>
    </row>
    <row r="38" customFormat="false" ht="15" hidden="false" customHeight="false" outlineLevel="0" collapsed="false">
      <c r="A38" s="4" t="s">
        <v>116</v>
      </c>
      <c r="B38" s="4" t="s">
        <v>120</v>
      </c>
      <c r="C38" s="4" t="s">
        <v>76</v>
      </c>
      <c r="D38" s="4" t="s">
        <v>24</v>
      </c>
      <c r="E38" s="4" t="s">
        <v>28</v>
      </c>
      <c r="F38" s="5" t="n">
        <v>78</v>
      </c>
    </row>
    <row r="39" customFormat="false" ht="15" hidden="false" customHeight="false" outlineLevel="0" collapsed="false">
      <c r="A39" s="4" t="s">
        <v>116</v>
      </c>
      <c r="B39" s="4" t="s">
        <v>121</v>
      </c>
      <c r="C39" s="4" t="s">
        <v>76</v>
      </c>
      <c r="D39" s="4" t="s">
        <v>7</v>
      </c>
      <c r="E39" s="4" t="s">
        <v>19</v>
      </c>
      <c r="F39" s="5" t="n">
        <v>14.99</v>
      </c>
    </row>
    <row r="40" customFormat="false" ht="15" hidden="false" customHeight="false" outlineLevel="0" collapsed="false">
      <c r="A40" s="4" t="s">
        <v>116</v>
      </c>
      <c r="B40" s="4" t="s">
        <v>122</v>
      </c>
      <c r="C40" s="4" t="s">
        <v>76</v>
      </c>
      <c r="D40" s="4" t="s">
        <v>44</v>
      </c>
      <c r="E40" s="4" t="s">
        <v>46</v>
      </c>
      <c r="F40" s="5" t="n">
        <v>709.9</v>
      </c>
    </row>
    <row r="41" customFormat="false" ht="15" hidden="false" customHeight="false" outlineLevel="0" collapsed="false">
      <c r="A41" s="4" t="s">
        <v>116</v>
      </c>
      <c r="B41" s="4" t="s">
        <v>123</v>
      </c>
      <c r="C41" s="4" t="s">
        <v>76</v>
      </c>
      <c r="D41" s="4" t="s">
        <v>24</v>
      </c>
      <c r="E41" s="4" t="s">
        <v>26</v>
      </c>
      <c r="F41" s="5" t="n">
        <v>5</v>
      </c>
    </row>
    <row r="42" customFormat="false" ht="15" hidden="false" customHeight="false" outlineLevel="0" collapsed="false">
      <c r="A42" s="4" t="s">
        <v>116</v>
      </c>
      <c r="B42" s="4" t="s">
        <v>124</v>
      </c>
      <c r="C42" s="4" t="s">
        <v>76</v>
      </c>
      <c r="D42" s="4" t="s">
        <v>24</v>
      </c>
      <c r="E42" s="4" t="s">
        <v>25</v>
      </c>
      <c r="F42" s="5" t="n">
        <v>20</v>
      </c>
    </row>
    <row r="43" customFormat="false" ht="15" hidden="false" customHeight="false" outlineLevel="0" collapsed="false">
      <c r="A43" s="4" t="s">
        <v>116</v>
      </c>
      <c r="B43" s="4" t="s">
        <v>125</v>
      </c>
      <c r="C43" s="4" t="s">
        <v>76</v>
      </c>
      <c r="D43" s="4" t="s">
        <v>24</v>
      </c>
      <c r="E43" s="4" t="s">
        <v>25</v>
      </c>
      <c r="F43" s="5" t="n">
        <v>125.61</v>
      </c>
    </row>
    <row r="44" customFormat="false" ht="15" hidden="false" customHeight="false" outlineLevel="0" collapsed="false">
      <c r="A44" s="4" t="s">
        <v>116</v>
      </c>
      <c r="B44" s="4" t="s">
        <v>126</v>
      </c>
      <c r="C44" s="4" t="s">
        <v>76</v>
      </c>
      <c r="D44" s="4" t="s">
        <v>24</v>
      </c>
      <c r="E44" s="4" t="s">
        <v>25</v>
      </c>
      <c r="F44" s="5" t="n">
        <v>48.78</v>
      </c>
    </row>
    <row r="45" customFormat="false" ht="15" hidden="false" customHeight="false" outlineLevel="0" collapsed="false">
      <c r="A45" s="4" t="s">
        <v>116</v>
      </c>
      <c r="B45" s="4" t="s">
        <v>127</v>
      </c>
      <c r="C45" s="4" t="s">
        <v>76</v>
      </c>
      <c r="D45" s="4" t="s">
        <v>24</v>
      </c>
      <c r="E45" s="4" t="s">
        <v>26</v>
      </c>
      <c r="F45" s="5" t="n">
        <v>77.99</v>
      </c>
    </row>
    <row r="46" customFormat="false" ht="15" hidden="false" customHeight="false" outlineLevel="0" collapsed="false">
      <c r="A46" s="4" t="s">
        <v>116</v>
      </c>
      <c r="B46" s="4" t="s">
        <v>128</v>
      </c>
      <c r="C46" s="4" t="s">
        <v>76</v>
      </c>
      <c r="D46" s="4" t="s">
        <v>24</v>
      </c>
      <c r="E46" s="4" t="s">
        <v>25</v>
      </c>
      <c r="F46" s="5" t="n">
        <v>21.66</v>
      </c>
    </row>
    <row r="47" customFormat="false" ht="15" hidden="false" customHeight="false" outlineLevel="0" collapsed="false">
      <c r="A47" s="4" t="s">
        <v>116</v>
      </c>
      <c r="B47" s="4" t="s">
        <v>129</v>
      </c>
      <c r="C47" s="4" t="s">
        <v>76</v>
      </c>
      <c r="D47" s="4" t="s">
        <v>24</v>
      </c>
      <c r="E47" s="4" t="s">
        <v>26</v>
      </c>
      <c r="F47" s="5" t="n">
        <v>52.68</v>
      </c>
    </row>
    <row r="48" customFormat="false" ht="15" hidden="false" customHeight="false" outlineLevel="0" collapsed="false">
      <c r="A48" s="4" t="s">
        <v>116</v>
      </c>
      <c r="B48" s="4" t="s">
        <v>130</v>
      </c>
      <c r="C48" s="4" t="s">
        <v>76</v>
      </c>
      <c r="D48" s="4" t="s">
        <v>24</v>
      </c>
      <c r="E48" s="4" t="s">
        <v>25</v>
      </c>
      <c r="F48" s="5" t="n">
        <v>3</v>
      </c>
    </row>
    <row r="49" customFormat="false" ht="15" hidden="false" customHeight="false" outlineLevel="0" collapsed="false">
      <c r="A49" s="4" t="s">
        <v>116</v>
      </c>
      <c r="B49" s="4" t="s">
        <v>131</v>
      </c>
      <c r="C49" s="4" t="s">
        <v>76</v>
      </c>
      <c r="D49" s="4" t="s">
        <v>7</v>
      </c>
      <c r="E49" s="4" t="s">
        <v>18</v>
      </c>
      <c r="F49" s="5" t="n">
        <v>29.98</v>
      </c>
    </row>
    <row r="50" customFormat="false" ht="15" hidden="false" customHeight="false" outlineLevel="0" collapsed="false">
      <c r="A50" s="4" t="s">
        <v>116</v>
      </c>
      <c r="B50" s="4" t="s">
        <v>132</v>
      </c>
      <c r="C50" s="4" t="s">
        <v>76</v>
      </c>
      <c r="D50" s="4" t="s">
        <v>24</v>
      </c>
      <c r="E50" s="4" t="s">
        <v>25</v>
      </c>
      <c r="F50" s="5" t="n">
        <v>141.39</v>
      </c>
    </row>
    <row r="51" customFormat="false" ht="15" hidden="false" customHeight="false" outlineLevel="0" collapsed="false">
      <c r="A51" s="4" t="s">
        <v>116</v>
      </c>
      <c r="B51" s="4" t="s">
        <v>133</v>
      </c>
      <c r="C51" s="4" t="s">
        <v>76</v>
      </c>
      <c r="D51" s="4" t="s">
        <v>24</v>
      </c>
      <c r="E51" s="4" t="s">
        <v>25</v>
      </c>
      <c r="F51" s="5" t="n">
        <v>5.5</v>
      </c>
    </row>
    <row r="52" customFormat="false" ht="15" hidden="false" customHeight="false" outlineLevel="0" collapsed="false">
      <c r="A52" s="4" t="s">
        <v>116</v>
      </c>
      <c r="B52" s="4" t="s">
        <v>134</v>
      </c>
      <c r="C52" s="4" t="s">
        <v>76</v>
      </c>
      <c r="D52" s="4" t="s">
        <v>44</v>
      </c>
      <c r="E52" s="4" t="s">
        <v>47</v>
      </c>
      <c r="F52" s="5" t="n">
        <v>706.36</v>
      </c>
    </row>
    <row r="53" customFormat="false" ht="15" hidden="false" customHeight="false" outlineLevel="0" collapsed="false">
      <c r="A53" s="4" t="s">
        <v>116</v>
      </c>
      <c r="B53" s="4" t="s">
        <v>135</v>
      </c>
      <c r="C53" s="4" t="s">
        <v>76</v>
      </c>
      <c r="D53" s="4" t="s">
        <v>24</v>
      </c>
      <c r="E53" s="4" t="s">
        <v>25</v>
      </c>
      <c r="F53" s="5" t="n">
        <v>30</v>
      </c>
    </row>
    <row r="54" customFormat="false" ht="15" hidden="false" customHeight="false" outlineLevel="0" collapsed="false">
      <c r="A54" s="4" t="s">
        <v>116</v>
      </c>
      <c r="B54" s="4" t="s">
        <v>97</v>
      </c>
      <c r="C54" s="4" t="s">
        <v>76</v>
      </c>
      <c r="D54" s="4" t="s">
        <v>24</v>
      </c>
      <c r="E54" s="4" t="s">
        <v>29</v>
      </c>
      <c r="F54" s="5" t="n">
        <v>214.57</v>
      </c>
    </row>
    <row r="55" customFormat="false" ht="15" hidden="false" customHeight="false" outlineLevel="0" collapsed="false">
      <c r="A55" s="4" t="s">
        <v>116</v>
      </c>
      <c r="B55" s="4" t="s">
        <v>136</v>
      </c>
      <c r="C55" s="4" t="s">
        <v>76</v>
      </c>
      <c r="D55" s="4" t="s">
        <v>24</v>
      </c>
      <c r="E55" s="4" t="s">
        <v>37</v>
      </c>
      <c r="F55" s="5" t="n">
        <v>93.04</v>
      </c>
    </row>
    <row r="56" customFormat="false" ht="15" hidden="false" customHeight="false" outlineLevel="0" collapsed="false">
      <c r="A56" s="4" t="s">
        <v>116</v>
      </c>
      <c r="B56" s="4" t="s">
        <v>137</v>
      </c>
      <c r="C56" s="4" t="s">
        <v>76</v>
      </c>
      <c r="D56" s="4" t="s">
        <v>7</v>
      </c>
      <c r="E56" s="4" t="s">
        <v>8</v>
      </c>
      <c r="F56" s="5" t="n">
        <v>278.91</v>
      </c>
    </row>
    <row r="57" customFormat="false" ht="15" hidden="false" customHeight="false" outlineLevel="0" collapsed="false">
      <c r="A57" s="4" t="s">
        <v>116</v>
      </c>
      <c r="B57" s="4" t="s">
        <v>138</v>
      </c>
      <c r="C57" s="4" t="s">
        <v>76</v>
      </c>
      <c r="D57" s="4" t="s">
        <v>24</v>
      </c>
      <c r="E57" s="4" t="s">
        <v>30</v>
      </c>
      <c r="F57" s="5" t="n">
        <v>95.91</v>
      </c>
    </row>
    <row r="58" customFormat="false" ht="15" hidden="false" customHeight="false" outlineLevel="0" collapsed="false">
      <c r="A58" s="4" t="s">
        <v>116</v>
      </c>
      <c r="B58" s="4" t="s">
        <v>139</v>
      </c>
      <c r="C58" s="4" t="s">
        <v>76</v>
      </c>
      <c r="D58" s="4" t="s">
        <v>24</v>
      </c>
      <c r="E58" s="4" t="s">
        <v>25</v>
      </c>
      <c r="F58" s="5" t="n">
        <v>29.36</v>
      </c>
    </row>
    <row r="59" customFormat="false" ht="15" hidden="false" customHeight="false" outlineLevel="0" collapsed="false">
      <c r="A59" s="4" t="s">
        <v>116</v>
      </c>
      <c r="B59" s="4" t="s">
        <v>140</v>
      </c>
      <c r="C59" s="4" t="s">
        <v>76</v>
      </c>
      <c r="D59" s="4" t="s">
        <v>24</v>
      </c>
      <c r="E59" s="4" t="s">
        <v>25</v>
      </c>
      <c r="F59" s="5" t="n">
        <v>9</v>
      </c>
    </row>
    <row r="60" customFormat="false" ht="15" hidden="false" customHeight="false" outlineLevel="0" collapsed="false">
      <c r="A60" s="4" t="s">
        <v>116</v>
      </c>
      <c r="B60" s="4" t="s">
        <v>141</v>
      </c>
      <c r="C60" s="4" t="s">
        <v>76</v>
      </c>
      <c r="D60" s="4" t="s">
        <v>24</v>
      </c>
      <c r="E60" s="4" t="s">
        <v>25</v>
      </c>
      <c r="F60" s="5" t="n">
        <v>160</v>
      </c>
    </row>
    <row r="61" customFormat="false" ht="15" hidden="false" customHeight="false" outlineLevel="0" collapsed="false">
      <c r="A61" s="4" t="s">
        <v>142</v>
      </c>
      <c r="B61" s="4" t="s">
        <v>143</v>
      </c>
      <c r="C61" s="4" t="s">
        <v>76</v>
      </c>
      <c r="D61" s="4" t="s">
        <v>24</v>
      </c>
      <c r="E61" s="4" t="s">
        <v>28</v>
      </c>
      <c r="F61" s="5" t="n">
        <v>63.93</v>
      </c>
    </row>
    <row r="62" customFormat="false" ht="15" hidden="false" customHeight="false" outlineLevel="0" collapsed="false">
      <c r="A62" s="4" t="s">
        <v>142</v>
      </c>
      <c r="B62" s="4" t="s">
        <v>144</v>
      </c>
      <c r="C62" s="4" t="s">
        <v>76</v>
      </c>
      <c r="D62" s="4" t="s">
        <v>24</v>
      </c>
      <c r="E62" s="4" t="s">
        <v>28</v>
      </c>
      <c r="F62" s="5" t="n">
        <v>16.25</v>
      </c>
    </row>
    <row r="63" customFormat="false" ht="15" hidden="false" customHeight="false" outlineLevel="0" collapsed="false">
      <c r="A63" s="4" t="s">
        <v>142</v>
      </c>
      <c r="B63" s="4" t="s">
        <v>145</v>
      </c>
      <c r="C63" s="4" t="s">
        <v>76</v>
      </c>
      <c r="D63" s="4" t="s">
        <v>24</v>
      </c>
      <c r="E63" s="4" t="s">
        <v>28</v>
      </c>
      <c r="F63" s="5" t="n">
        <v>14.85</v>
      </c>
    </row>
    <row r="64" customFormat="false" ht="15" hidden="false" customHeight="false" outlineLevel="0" collapsed="false">
      <c r="A64" s="4" t="s">
        <v>142</v>
      </c>
      <c r="B64" s="4" t="s">
        <v>146</v>
      </c>
      <c r="C64" s="4" t="s">
        <v>76</v>
      </c>
      <c r="D64" s="4" t="s">
        <v>7</v>
      </c>
      <c r="E64" s="4" t="s">
        <v>16</v>
      </c>
      <c r="F64" s="5" t="n">
        <v>49.72</v>
      </c>
    </row>
    <row r="65" customFormat="false" ht="15" hidden="false" customHeight="false" outlineLevel="0" collapsed="false">
      <c r="A65" s="4" t="s">
        <v>142</v>
      </c>
      <c r="B65" s="4" t="s">
        <v>147</v>
      </c>
      <c r="C65" s="4" t="s">
        <v>76</v>
      </c>
      <c r="D65" s="4" t="s">
        <v>24</v>
      </c>
      <c r="E65" s="4" t="s">
        <v>25</v>
      </c>
      <c r="F65" s="5" t="n">
        <v>65.1</v>
      </c>
    </row>
    <row r="66" customFormat="false" ht="15" hidden="false" customHeight="false" outlineLevel="0" collapsed="false">
      <c r="A66" s="4" t="s">
        <v>142</v>
      </c>
      <c r="B66" s="4" t="s">
        <v>148</v>
      </c>
      <c r="C66" s="4" t="s">
        <v>76</v>
      </c>
      <c r="D66" s="4" t="s">
        <v>24</v>
      </c>
      <c r="E66" s="4" t="s">
        <v>25</v>
      </c>
      <c r="F66" s="5" t="n">
        <v>46.77</v>
      </c>
    </row>
    <row r="67" customFormat="false" ht="15" hidden="false" customHeight="false" outlineLevel="0" collapsed="false">
      <c r="A67" s="4" t="s">
        <v>142</v>
      </c>
      <c r="B67" s="4" t="s">
        <v>149</v>
      </c>
      <c r="C67" s="4" t="s">
        <v>150</v>
      </c>
      <c r="D67" s="4" t="s">
        <v>24</v>
      </c>
      <c r="E67" s="4" t="s">
        <v>39</v>
      </c>
      <c r="F67" s="5" t="n">
        <v>20</v>
      </c>
    </row>
    <row r="68" customFormat="false" ht="15" hidden="false" customHeight="false" outlineLevel="0" collapsed="false">
      <c r="A68" s="4" t="s">
        <v>151</v>
      </c>
      <c r="B68" s="4" t="s">
        <v>152</v>
      </c>
      <c r="C68" s="4" t="s">
        <v>76</v>
      </c>
      <c r="D68" s="4" t="s">
        <v>24</v>
      </c>
      <c r="E68" s="4" t="s">
        <v>25</v>
      </c>
      <c r="F68" s="5" t="n">
        <v>43.46</v>
      </c>
    </row>
    <row r="69" customFormat="false" ht="15" hidden="false" customHeight="false" outlineLevel="0" collapsed="false">
      <c r="A69" s="4" t="s">
        <v>151</v>
      </c>
      <c r="B69" s="4" t="s">
        <v>153</v>
      </c>
      <c r="C69" s="4" t="s">
        <v>76</v>
      </c>
      <c r="D69" s="4" t="s">
        <v>24</v>
      </c>
      <c r="E69" s="4" t="s">
        <v>27</v>
      </c>
      <c r="F69" s="5" t="n">
        <v>37</v>
      </c>
    </row>
    <row r="70" customFormat="false" ht="15" hidden="false" customHeight="false" outlineLevel="0" collapsed="false">
      <c r="A70" s="4" t="s">
        <v>151</v>
      </c>
      <c r="B70" s="4" t="s">
        <v>111</v>
      </c>
      <c r="C70" s="4" t="s">
        <v>154</v>
      </c>
      <c r="D70" s="4" t="s">
        <v>44</v>
      </c>
      <c r="E70" s="4" t="s">
        <v>51</v>
      </c>
      <c r="F70" s="5" t="n">
        <v>30</v>
      </c>
    </row>
    <row r="71" customFormat="false" ht="15" hidden="false" customHeight="false" outlineLevel="0" collapsed="false">
      <c r="A71" s="4" t="s">
        <v>151</v>
      </c>
      <c r="B71" s="4" t="s">
        <v>155</v>
      </c>
      <c r="C71" s="4" t="s">
        <v>156</v>
      </c>
      <c r="D71" s="4" t="s">
        <v>24</v>
      </c>
      <c r="E71" s="4" t="s">
        <v>32</v>
      </c>
      <c r="F71" s="5" t="n">
        <v>304.42</v>
      </c>
    </row>
    <row r="72" customFormat="false" ht="15" hidden="false" customHeight="false" outlineLevel="0" collapsed="false">
      <c r="A72" s="4" t="s">
        <v>157</v>
      </c>
      <c r="B72" s="4" t="s">
        <v>158</v>
      </c>
      <c r="C72" s="4" t="s">
        <v>76</v>
      </c>
      <c r="D72" s="4" t="s">
        <v>44</v>
      </c>
      <c r="E72" s="4" t="s">
        <v>48</v>
      </c>
      <c r="F72" s="5" t="n">
        <v>500</v>
      </c>
    </row>
    <row r="73" customFormat="false" ht="15" hidden="false" customHeight="false" outlineLevel="0" collapsed="false">
      <c r="A73" s="4" t="s">
        <v>157</v>
      </c>
      <c r="B73" s="4" t="s">
        <v>159</v>
      </c>
      <c r="C73" s="4" t="s">
        <v>76</v>
      </c>
      <c r="D73" s="4" t="s">
        <v>24</v>
      </c>
      <c r="E73" s="4" t="s">
        <v>25</v>
      </c>
      <c r="F73" s="5" t="n">
        <v>10</v>
      </c>
    </row>
    <row r="74" customFormat="false" ht="15" hidden="false" customHeight="false" outlineLevel="0" collapsed="false">
      <c r="A74" s="4" t="s">
        <v>157</v>
      </c>
      <c r="B74" s="4" t="s">
        <v>160</v>
      </c>
      <c r="C74" s="4" t="s">
        <v>76</v>
      </c>
      <c r="D74" s="4" t="s">
        <v>44</v>
      </c>
      <c r="E74" s="4" t="s">
        <v>49</v>
      </c>
      <c r="F74" s="5" t="n">
        <v>66.35</v>
      </c>
    </row>
    <row r="75" customFormat="false" ht="15" hidden="false" customHeight="false" outlineLevel="0" collapsed="false">
      <c r="A75" s="4" t="s">
        <v>157</v>
      </c>
      <c r="B75" s="4" t="s">
        <v>161</v>
      </c>
      <c r="C75" s="4" t="s">
        <v>76</v>
      </c>
      <c r="D75" s="4" t="s">
        <v>24</v>
      </c>
      <c r="E75" s="4" t="s">
        <v>25</v>
      </c>
      <c r="F75" s="5" t="n">
        <v>19.58</v>
      </c>
    </row>
    <row r="76" customFormat="false" ht="15" hidden="false" customHeight="false" outlineLevel="0" collapsed="false">
      <c r="A76" s="4" t="s">
        <v>157</v>
      </c>
      <c r="B76" s="4" t="s">
        <v>162</v>
      </c>
      <c r="C76" s="4" t="s">
        <v>76</v>
      </c>
      <c r="D76" s="4" t="s">
        <v>24</v>
      </c>
      <c r="E76" s="4" t="s">
        <v>25</v>
      </c>
      <c r="F76" s="5" t="n">
        <v>88.24</v>
      </c>
    </row>
    <row r="77" customFormat="false" ht="15" hidden="false" customHeight="false" outlineLevel="0" collapsed="false">
      <c r="A77" s="4" t="s">
        <v>157</v>
      </c>
      <c r="B77" s="4" t="s">
        <v>163</v>
      </c>
      <c r="C77" s="4" t="s">
        <v>76</v>
      </c>
      <c r="D77" s="4" t="s">
        <v>24</v>
      </c>
      <c r="E77" s="4" t="s">
        <v>25</v>
      </c>
      <c r="F77" s="5" t="n">
        <v>1.99</v>
      </c>
    </row>
    <row r="78" customFormat="false" ht="15" hidden="false" customHeight="false" outlineLevel="0" collapsed="false">
      <c r="A78" s="4" t="s">
        <v>157</v>
      </c>
      <c r="B78" s="4" t="s">
        <v>164</v>
      </c>
      <c r="C78" s="4" t="s">
        <v>76</v>
      </c>
      <c r="D78" s="4" t="s">
        <v>7</v>
      </c>
      <c r="E78" s="4" t="s">
        <v>11</v>
      </c>
      <c r="F78" s="5" t="n">
        <v>205.62</v>
      </c>
    </row>
    <row r="79" customFormat="false" ht="15" hidden="false" customHeight="false" outlineLevel="0" collapsed="false">
      <c r="A79" s="4" t="s">
        <v>157</v>
      </c>
      <c r="B79" s="4" t="s">
        <v>165</v>
      </c>
      <c r="C79" s="4" t="s">
        <v>76</v>
      </c>
      <c r="D79" s="4" t="s">
        <v>24</v>
      </c>
      <c r="E79" s="4" t="s">
        <v>25</v>
      </c>
      <c r="F79" s="5" t="n">
        <v>50</v>
      </c>
    </row>
    <row r="80" customFormat="false" ht="15" hidden="false" customHeight="false" outlineLevel="0" collapsed="false">
      <c r="A80" s="4" t="s">
        <v>166</v>
      </c>
      <c r="B80" s="4" t="s">
        <v>167</v>
      </c>
      <c r="C80" s="4" t="s">
        <v>76</v>
      </c>
      <c r="D80" s="4" t="s">
        <v>24</v>
      </c>
      <c r="E80" s="4" t="s">
        <v>33</v>
      </c>
      <c r="F80" s="5" t="n">
        <v>52.63</v>
      </c>
    </row>
    <row r="81" customFormat="false" ht="15" hidden="false" customHeight="false" outlineLevel="0" collapsed="false">
      <c r="A81" s="4" t="s">
        <v>168</v>
      </c>
      <c r="B81" s="4" t="s">
        <v>169</v>
      </c>
      <c r="C81" s="4" t="s">
        <v>76</v>
      </c>
      <c r="D81" s="4" t="s">
        <v>44</v>
      </c>
      <c r="E81" s="4" t="s">
        <v>45</v>
      </c>
      <c r="F81" s="5" t="n">
        <v>24.38</v>
      </c>
    </row>
    <row r="82" customFormat="false" ht="15" hidden="false" customHeight="false" outlineLevel="0" collapsed="false">
      <c r="A82" s="4" t="s">
        <v>168</v>
      </c>
      <c r="B82" s="4" t="s">
        <v>40</v>
      </c>
      <c r="C82" s="4" t="s">
        <v>76</v>
      </c>
      <c r="D82" s="4" t="s">
        <v>24</v>
      </c>
      <c r="E82" s="4" t="s">
        <v>40</v>
      </c>
      <c r="F82" s="5" t="n">
        <v>20</v>
      </c>
    </row>
    <row r="83" customFormat="false" ht="15" hidden="false" customHeight="false" outlineLevel="0" collapsed="false">
      <c r="A83" s="4" t="s">
        <v>168</v>
      </c>
      <c r="B83" s="4" t="s">
        <v>170</v>
      </c>
      <c r="C83" s="4" t="s">
        <v>76</v>
      </c>
      <c r="D83" s="4" t="s">
        <v>44</v>
      </c>
      <c r="E83" s="4" t="s">
        <v>49</v>
      </c>
      <c r="F83" s="5" t="n">
        <v>53.97</v>
      </c>
    </row>
    <row r="84" customFormat="false" ht="15" hidden="false" customHeight="false" outlineLevel="0" collapsed="false">
      <c r="A84" s="4" t="s">
        <v>168</v>
      </c>
      <c r="B84" s="4" t="s">
        <v>171</v>
      </c>
      <c r="C84" s="4" t="s">
        <v>76</v>
      </c>
      <c r="D84" s="4" t="s">
        <v>24</v>
      </c>
      <c r="E84" s="4" t="s">
        <v>26</v>
      </c>
      <c r="F84" s="5" t="n">
        <v>45.93</v>
      </c>
    </row>
    <row r="85" customFormat="false" ht="15" hidden="false" customHeight="false" outlineLevel="0" collapsed="false">
      <c r="A85" s="4" t="s">
        <v>168</v>
      </c>
      <c r="B85" s="4" t="s">
        <v>172</v>
      </c>
      <c r="C85" s="4" t="s">
        <v>76</v>
      </c>
      <c r="D85" s="4" t="s">
        <v>24</v>
      </c>
      <c r="E85" s="4" t="s">
        <v>25</v>
      </c>
      <c r="F85" s="5" t="n">
        <v>10</v>
      </c>
    </row>
    <row r="86" customFormat="false" ht="15" hidden="false" customHeight="false" outlineLevel="0" collapsed="false">
      <c r="A86" s="4" t="s">
        <v>168</v>
      </c>
      <c r="B86" s="4" t="s">
        <v>173</v>
      </c>
      <c r="C86" s="4" t="s">
        <v>76</v>
      </c>
      <c r="D86" s="4" t="s">
        <v>24</v>
      </c>
      <c r="E86" s="4" t="s">
        <v>25</v>
      </c>
      <c r="F86" s="5" t="n">
        <v>23</v>
      </c>
    </row>
    <row r="87" customFormat="false" ht="15" hidden="false" customHeight="false" outlineLevel="0" collapsed="false">
      <c r="A87" s="4" t="s">
        <v>174</v>
      </c>
      <c r="B87" s="4" t="s">
        <v>175</v>
      </c>
      <c r="C87" s="4" t="s">
        <v>176</v>
      </c>
      <c r="D87" s="4" t="s">
        <v>24</v>
      </c>
      <c r="E87" s="4" t="s">
        <v>25</v>
      </c>
      <c r="F87" s="5" t="n">
        <v>30</v>
      </c>
    </row>
    <row r="88" customFormat="false" ht="15" hidden="false" customHeight="false" outlineLevel="0" collapsed="false">
      <c r="A88" s="4" t="s">
        <v>174</v>
      </c>
      <c r="B88" s="4" t="s">
        <v>177</v>
      </c>
      <c r="C88" s="4" t="s">
        <v>76</v>
      </c>
      <c r="D88" s="4" t="s">
        <v>24</v>
      </c>
      <c r="E88" s="4" t="s">
        <v>30</v>
      </c>
      <c r="F88" s="5" t="n">
        <v>39.63</v>
      </c>
    </row>
    <row r="89" customFormat="false" ht="15" hidden="false" customHeight="false" outlineLevel="0" collapsed="false">
      <c r="A89" s="4" t="s">
        <v>174</v>
      </c>
      <c r="B89" s="4" t="s">
        <v>178</v>
      </c>
      <c r="C89" s="4" t="s">
        <v>76</v>
      </c>
      <c r="D89" s="4" t="s">
        <v>24</v>
      </c>
      <c r="E89" s="4" t="s">
        <v>25</v>
      </c>
      <c r="F89" s="5" t="n">
        <v>10</v>
      </c>
    </row>
    <row r="90" customFormat="false" ht="15" hidden="false" customHeight="false" outlineLevel="0" collapsed="false">
      <c r="A90" s="4" t="s">
        <v>174</v>
      </c>
      <c r="B90" s="4" t="s">
        <v>179</v>
      </c>
      <c r="C90" s="4" t="s">
        <v>76</v>
      </c>
      <c r="D90" s="4" t="s">
        <v>24</v>
      </c>
      <c r="E90" s="4" t="s">
        <v>30</v>
      </c>
      <c r="F90" s="5" t="n">
        <v>0.99</v>
      </c>
    </row>
    <row r="91" customFormat="false" ht="15" hidden="false" customHeight="false" outlineLevel="0" collapsed="false">
      <c r="A91" s="4" t="s">
        <v>180</v>
      </c>
      <c r="B91" s="4" t="s">
        <v>181</v>
      </c>
      <c r="C91" s="4" t="s">
        <v>76</v>
      </c>
      <c r="D91" s="4" t="s">
        <v>44</v>
      </c>
      <c r="E91" s="4" t="s">
        <v>45</v>
      </c>
      <c r="F91" s="5" t="n">
        <v>287.26</v>
      </c>
    </row>
    <row r="92" customFormat="false" ht="15" hidden="false" customHeight="false" outlineLevel="0" collapsed="false">
      <c r="A92" s="4" t="s">
        <v>180</v>
      </c>
      <c r="B92" s="4" t="s">
        <v>182</v>
      </c>
      <c r="C92" s="4" t="s">
        <v>76</v>
      </c>
      <c r="D92" s="4" t="s">
        <v>24</v>
      </c>
      <c r="E92" s="4" t="s">
        <v>28</v>
      </c>
      <c r="F92" s="5" t="n">
        <v>180.49</v>
      </c>
    </row>
    <row r="93" customFormat="false" ht="15" hidden="false" customHeight="false" outlineLevel="0" collapsed="false">
      <c r="A93" s="4" t="s">
        <v>180</v>
      </c>
      <c r="B93" s="4" t="s">
        <v>183</v>
      </c>
      <c r="C93" s="4" t="s">
        <v>76</v>
      </c>
      <c r="D93" s="4" t="s">
        <v>7</v>
      </c>
      <c r="E93" s="4" t="s">
        <v>12</v>
      </c>
      <c r="F93" s="5" t="n">
        <v>200</v>
      </c>
    </row>
    <row r="94" customFormat="false" ht="15" hidden="false" customHeight="false" outlineLevel="0" collapsed="false">
      <c r="A94" s="4" t="s">
        <v>180</v>
      </c>
      <c r="B94" s="4" t="s">
        <v>184</v>
      </c>
      <c r="C94" s="4" t="s">
        <v>76</v>
      </c>
      <c r="D94" s="4" t="s">
        <v>24</v>
      </c>
      <c r="E94" s="4" t="s">
        <v>25</v>
      </c>
      <c r="F94" s="5" t="n">
        <v>199.98</v>
      </c>
    </row>
    <row r="95" customFormat="false" ht="15" hidden="false" customHeight="false" outlineLevel="0" collapsed="false">
      <c r="A95" s="4" t="s">
        <v>180</v>
      </c>
      <c r="B95" s="4" t="s">
        <v>185</v>
      </c>
      <c r="C95" s="4" t="s">
        <v>76</v>
      </c>
      <c r="D95" s="4" t="s">
        <v>24</v>
      </c>
      <c r="E95" s="4" t="s">
        <v>28</v>
      </c>
      <c r="F95" s="5" t="n">
        <v>18.41</v>
      </c>
    </row>
    <row r="96" customFormat="false" ht="15" hidden="false" customHeight="false" outlineLevel="0" collapsed="false">
      <c r="A96" s="4" t="s">
        <v>180</v>
      </c>
      <c r="B96" s="4" t="s">
        <v>172</v>
      </c>
      <c r="C96" s="4" t="s">
        <v>76</v>
      </c>
      <c r="D96" s="4" t="s">
        <v>24</v>
      </c>
      <c r="E96" s="4" t="s">
        <v>25</v>
      </c>
      <c r="F96" s="5" t="n">
        <v>10</v>
      </c>
    </row>
    <row r="97" customFormat="false" ht="15" hidden="false" customHeight="false" outlineLevel="0" collapsed="false">
      <c r="A97" s="4" t="s">
        <v>180</v>
      </c>
      <c r="B97" s="4" t="s">
        <v>186</v>
      </c>
      <c r="C97" s="4" t="s">
        <v>76</v>
      </c>
      <c r="D97" s="4" t="s">
        <v>24</v>
      </c>
      <c r="E97" s="4" t="s">
        <v>26</v>
      </c>
      <c r="F97" s="5" t="n">
        <v>64.1</v>
      </c>
    </row>
    <row r="98" customFormat="false" ht="15" hidden="false" customHeight="false" outlineLevel="0" collapsed="false">
      <c r="A98" s="4" t="s">
        <v>180</v>
      </c>
      <c r="B98" s="4" t="s">
        <v>187</v>
      </c>
      <c r="C98" s="4" t="s">
        <v>76</v>
      </c>
      <c r="D98" s="4" t="s">
        <v>24</v>
      </c>
      <c r="E98" s="4" t="s">
        <v>25</v>
      </c>
      <c r="F98" s="5" t="n">
        <v>18.42</v>
      </c>
    </row>
    <row r="99" customFormat="false" ht="15" hidden="false" customHeight="false" outlineLevel="0" collapsed="false">
      <c r="A99" s="4" t="s">
        <v>180</v>
      </c>
      <c r="B99" s="4" t="s">
        <v>188</v>
      </c>
      <c r="C99" s="4" t="s">
        <v>76</v>
      </c>
      <c r="D99" s="4" t="s">
        <v>24</v>
      </c>
      <c r="E99" s="4" t="s">
        <v>27</v>
      </c>
      <c r="F99" s="5" t="n">
        <v>-39.02</v>
      </c>
    </row>
    <row r="100" customFormat="false" ht="15" hidden="false" customHeight="false" outlineLevel="0" collapsed="false">
      <c r="A100" s="4" t="s">
        <v>180</v>
      </c>
      <c r="B100" s="4" t="s">
        <v>189</v>
      </c>
      <c r="C100" s="4" t="s">
        <v>81</v>
      </c>
      <c r="D100" s="4" t="s">
        <v>7</v>
      </c>
      <c r="E100" s="4" t="s">
        <v>8</v>
      </c>
      <c r="F100" s="5" t="n">
        <v>298.89</v>
      </c>
    </row>
    <row r="101" customFormat="false" ht="15" hidden="false" customHeight="false" outlineLevel="0" collapsed="false">
      <c r="A101" s="4" t="s">
        <v>180</v>
      </c>
      <c r="B101" s="4" t="s">
        <v>190</v>
      </c>
      <c r="C101" s="4" t="s">
        <v>81</v>
      </c>
      <c r="D101" s="4" t="s">
        <v>7</v>
      </c>
      <c r="E101" s="4" t="s">
        <v>8</v>
      </c>
      <c r="F101" s="5" t="n">
        <v>506.4</v>
      </c>
    </row>
    <row r="102" customFormat="false" ht="15" hidden="false" customHeight="false" outlineLevel="0" collapsed="false">
      <c r="A102" s="4" t="s">
        <v>191</v>
      </c>
      <c r="B102" s="4" t="s">
        <v>192</v>
      </c>
      <c r="C102" s="4" t="s">
        <v>76</v>
      </c>
      <c r="D102" s="4" t="s">
        <v>24</v>
      </c>
      <c r="E102" s="4" t="s">
        <v>27</v>
      </c>
      <c r="F102" s="5" t="n">
        <v>11.88</v>
      </c>
    </row>
    <row r="103" customFormat="false" ht="15" hidden="false" customHeight="false" outlineLevel="0" collapsed="false">
      <c r="A103" s="4" t="s">
        <v>191</v>
      </c>
      <c r="B103" s="4" t="s">
        <v>193</v>
      </c>
      <c r="C103" s="4" t="s">
        <v>150</v>
      </c>
      <c r="D103" s="4" t="s">
        <v>24</v>
      </c>
      <c r="E103" s="4" t="s">
        <v>39</v>
      </c>
      <c r="F103" s="5" t="n">
        <v>20</v>
      </c>
    </row>
    <row r="104" customFormat="false" ht="15" hidden="false" customHeight="false" outlineLevel="0" collapsed="false">
      <c r="A104" s="4" t="s">
        <v>194</v>
      </c>
      <c r="B104" s="4" t="s">
        <v>182</v>
      </c>
      <c r="C104" s="4" t="s">
        <v>76</v>
      </c>
      <c r="D104" s="4" t="s">
        <v>24</v>
      </c>
      <c r="E104" s="4" t="s">
        <v>28</v>
      </c>
      <c r="F104" s="5" t="n">
        <v>19.5</v>
      </c>
    </row>
    <row r="105" customFormat="false" ht="15" hidden="false" customHeight="false" outlineLevel="0" collapsed="false">
      <c r="A105" s="4" t="s">
        <v>194</v>
      </c>
      <c r="B105" s="4" t="s">
        <v>195</v>
      </c>
      <c r="C105" s="4" t="s">
        <v>76</v>
      </c>
      <c r="D105" s="4" t="s">
        <v>24</v>
      </c>
      <c r="E105" s="4" t="s">
        <v>25</v>
      </c>
      <c r="F105" s="5" t="n">
        <v>90</v>
      </c>
    </row>
    <row r="106" customFormat="false" ht="15" hidden="false" customHeight="false" outlineLevel="0" collapsed="false">
      <c r="A106" s="4" t="s">
        <v>194</v>
      </c>
      <c r="B106" s="4" t="s">
        <v>195</v>
      </c>
      <c r="C106" s="4" t="s">
        <v>76</v>
      </c>
      <c r="D106" s="4" t="s">
        <v>24</v>
      </c>
      <c r="E106" s="4" t="s">
        <v>25</v>
      </c>
      <c r="F106" s="5" t="n">
        <v>41.5</v>
      </c>
    </row>
    <row r="107" customFormat="false" ht="15" hidden="false" customHeight="false" outlineLevel="0" collapsed="false">
      <c r="A107" s="4" t="s">
        <v>194</v>
      </c>
      <c r="B107" s="4" t="s">
        <v>195</v>
      </c>
      <c r="C107" s="4" t="s">
        <v>76</v>
      </c>
      <c r="D107" s="4" t="s">
        <v>24</v>
      </c>
      <c r="E107" s="4" t="s">
        <v>25</v>
      </c>
      <c r="F107" s="5" t="n">
        <v>25</v>
      </c>
    </row>
    <row r="108" customFormat="false" ht="15" hidden="false" customHeight="false" outlineLevel="0" collapsed="false">
      <c r="A108" s="4" t="s">
        <v>194</v>
      </c>
      <c r="B108" s="4" t="s">
        <v>196</v>
      </c>
      <c r="C108" s="4" t="s">
        <v>76</v>
      </c>
      <c r="D108" s="4" t="s">
        <v>24</v>
      </c>
      <c r="E108" s="4" t="s">
        <v>26</v>
      </c>
      <c r="F108" s="5" t="n">
        <v>29.41</v>
      </c>
    </row>
    <row r="109" customFormat="false" ht="15" hidden="false" customHeight="false" outlineLevel="0" collapsed="false">
      <c r="A109" s="4" t="s">
        <v>194</v>
      </c>
      <c r="B109" s="4" t="s">
        <v>197</v>
      </c>
      <c r="C109" s="4" t="s">
        <v>81</v>
      </c>
      <c r="D109" s="4" t="s">
        <v>7</v>
      </c>
      <c r="E109" s="4" t="s">
        <v>8</v>
      </c>
      <c r="F109" s="5" t="n">
        <v>-494.4</v>
      </c>
    </row>
    <row r="110" customFormat="false" ht="15" hidden="false" customHeight="false" outlineLevel="0" collapsed="false">
      <c r="A110" s="4" t="s">
        <v>194</v>
      </c>
      <c r="B110" s="4" t="s">
        <v>198</v>
      </c>
      <c r="C110" s="4" t="s">
        <v>150</v>
      </c>
      <c r="D110" s="4" t="s">
        <v>44</v>
      </c>
      <c r="E110" s="4" t="s">
        <v>54</v>
      </c>
      <c r="F110" s="5" t="n">
        <v>5.68</v>
      </c>
    </row>
    <row r="111" customFormat="false" ht="15" hidden="false" customHeight="false" outlineLevel="0" collapsed="false">
      <c r="A111" s="4" t="s">
        <v>199</v>
      </c>
      <c r="B111" s="4" t="s">
        <v>200</v>
      </c>
      <c r="C111" s="4" t="s">
        <v>76</v>
      </c>
      <c r="D111" s="4" t="s">
        <v>44</v>
      </c>
      <c r="E111" s="4" t="s">
        <v>45</v>
      </c>
      <c r="F111" s="5" t="n">
        <v>68.11</v>
      </c>
    </row>
    <row r="112" customFormat="false" ht="15" hidden="false" customHeight="false" outlineLevel="0" collapsed="false">
      <c r="A112" s="4" t="s">
        <v>199</v>
      </c>
      <c r="B112" s="4" t="s">
        <v>201</v>
      </c>
      <c r="C112" s="4" t="s">
        <v>76</v>
      </c>
      <c r="D112" s="4" t="s">
        <v>44</v>
      </c>
      <c r="E112" s="4" t="s">
        <v>50</v>
      </c>
      <c r="F112" s="5" t="n">
        <v>75.2</v>
      </c>
    </row>
    <row r="113" customFormat="false" ht="15" hidden="false" customHeight="false" outlineLevel="0" collapsed="false">
      <c r="A113" s="4" t="s">
        <v>199</v>
      </c>
      <c r="B113" s="4" t="s">
        <v>202</v>
      </c>
      <c r="C113" s="4" t="s">
        <v>76</v>
      </c>
      <c r="D113" s="4" t="s">
        <v>24</v>
      </c>
      <c r="E113" s="4" t="s">
        <v>29</v>
      </c>
      <c r="F113" s="5" t="n">
        <v>45.93</v>
      </c>
    </row>
    <row r="114" customFormat="false" ht="15" hidden="false" customHeight="false" outlineLevel="0" collapsed="false">
      <c r="A114" s="4" t="s">
        <v>199</v>
      </c>
      <c r="B114" s="4" t="s">
        <v>203</v>
      </c>
      <c r="C114" s="4" t="s">
        <v>76</v>
      </c>
      <c r="D114" s="4" t="s">
        <v>24</v>
      </c>
      <c r="E114" s="4" t="s">
        <v>25</v>
      </c>
      <c r="F114" s="5" t="n">
        <v>-11.5</v>
      </c>
    </row>
    <row r="115" customFormat="false" ht="15" hidden="false" customHeight="false" outlineLevel="0" collapsed="false">
      <c r="A115" s="4" t="s">
        <v>199</v>
      </c>
      <c r="B115" s="4" t="s">
        <v>204</v>
      </c>
      <c r="C115" s="4" t="s">
        <v>76</v>
      </c>
      <c r="D115" s="4" t="s">
        <v>24</v>
      </c>
      <c r="E115" s="4" t="s">
        <v>26</v>
      </c>
      <c r="F115" s="5" t="n">
        <v>19.49</v>
      </c>
    </row>
    <row r="116" customFormat="false" ht="15" hidden="false" customHeight="false" outlineLevel="0" collapsed="false">
      <c r="A116" s="4" t="s">
        <v>199</v>
      </c>
      <c r="B116" s="4" t="s">
        <v>205</v>
      </c>
      <c r="C116" s="4" t="s">
        <v>76</v>
      </c>
      <c r="D116" s="4" t="s">
        <v>24</v>
      </c>
      <c r="E116" s="4" t="s">
        <v>35</v>
      </c>
      <c r="F116" s="5" t="n">
        <v>59.91</v>
      </c>
    </row>
    <row r="117" customFormat="false" ht="15" hidden="false" customHeight="false" outlineLevel="0" collapsed="false">
      <c r="A117" s="4" t="s">
        <v>199</v>
      </c>
      <c r="B117" s="4" t="s">
        <v>29</v>
      </c>
      <c r="C117" s="4" t="s">
        <v>76</v>
      </c>
      <c r="D117" s="4" t="s">
        <v>24</v>
      </c>
      <c r="E117" s="4" t="s">
        <v>29</v>
      </c>
      <c r="F117" s="5" t="n">
        <v>141.13</v>
      </c>
    </row>
    <row r="118" customFormat="false" ht="15" hidden="false" customHeight="false" outlineLevel="0" collapsed="false">
      <c r="A118" s="4" t="s">
        <v>199</v>
      </c>
      <c r="B118" s="4" t="s">
        <v>206</v>
      </c>
      <c r="C118" s="4" t="s">
        <v>76</v>
      </c>
      <c r="D118" s="4" t="s">
        <v>24</v>
      </c>
      <c r="E118" s="4" t="s">
        <v>25</v>
      </c>
      <c r="F118" s="5" t="n">
        <v>11.17</v>
      </c>
    </row>
    <row r="119" customFormat="false" ht="15" hidden="false" customHeight="false" outlineLevel="0" collapsed="false">
      <c r="A119" s="4" t="s">
        <v>199</v>
      </c>
      <c r="B119" s="4" t="s">
        <v>207</v>
      </c>
      <c r="C119" s="4" t="s">
        <v>76</v>
      </c>
      <c r="D119" s="4" t="s">
        <v>24</v>
      </c>
      <c r="E119" s="4" t="s">
        <v>27</v>
      </c>
      <c r="F119" s="5" t="n">
        <v>10.71</v>
      </c>
    </row>
    <row r="120" customFormat="false" ht="15" hidden="false" customHeight="false" outlineLevel="0" collapsed="false">
      <c r="A120" s="4" t="s">
        <v>199</v>
      </c>
      <c r="B120" s="4" t="s">
        <v>208</v>
      </c>
      <c r="C120" s="4" t="s">
        <v>81</v>
      </c>
      <c r="D120" s="4" t="s">
        <v>44</v>
      </c>
      <c r="E120" s="4" t="s">
        <v>53</v>
      </c>
      <c r="F120" s="5" t="n">
        <v>15.9</v>
      </c>
    </row>
    <row r="121" customFormat="false" ht="15" hidden="false" customHeight="false" outlineLevel="0" collapsed="false">
      <c r="A121" s="4" t="s">
        <v>209</v>
      </c>
      <c r="B121" s="4" t="s">
        <v>210</v>
      </c>
      <c r="C121" s="4" t="s">
        <v>76</v>
      </c>
      <c r="D121" s="4" t="s">
        <v>44</v>
      </c>
      <c r="E121" s="4" t="s">
        <v>45</v>
      </c>
      <c r="F121" s="5" t="n">
        <v>141.09</v>
      </c>
    </row>
    <row r="122" customFormat="false" ht="15" hidden="false" customHeight="false" outlineLevel="0" collapsed="false">
      <c r="A122" s="4" t="s">
        <v>209</v>
      </c>
      <c r="B122" s="4" t="s">
        <v>211</v>
      </c>
      <c r="C122" s="4" t="s">
        <v>76</v>
      </c>
      <c r="D122" s="4" t="s">
        <v>24</v>
      </c>
      <c r="E122" s="4" t="s">
        <v>35</v>
      </c>
      <c r="F122" s="5" t="n">
        <v>36.87</v>
      </c>
    </row>
    <row r="123" customFormat="false" ht="15" hidden="false" customHeight="false" outlineLevel="0" collapsed="false">
      <c r="A123" s="4" t="s">
        <v>209</v>
      </c>
      <c r="B123" s="4" t="s">
        <v>212</v>
      </c>
      <c r="C123" s="4" t="s">
        <v>76</v>
      </c>
      <c r="D123" s="4" t="s">
        <v>24</v>
      </c>
      <c r="E123" s="4" t="s">
        <v>35</v>
      </c>
      <c r="F123" s="5" t="n">
        <v>51.05</v>
      </c>
    </row>
    <row r="124" customFormat="false" ht="15" hidden="false" customHeight="false" outlineLevel="0" collapsed="false">
      <c r="A124" s="4" t="s">
        <v>209</v>
      </c>
      <c r="B124" s="4" t="s">
        <v>213</v>
      </c>
      <c r="C124" s="4" t="s">
        <v>76</v>
      </c>
      <c r="D124" s="4" t="s">
        <v>24</v>
      </c>
      <c r="E124" s="4" t="s">
        <v>36</v>
      </c>
      <c r="F124" s="5" t="n">
        <v>175.94</v>
      </c>
    </row>
    <row r="125" customFormat="false" ht="15" hidden="false" customHeight="false" outlineLevel="0" collapsed="false">
      <c r="A125" s="4" t="s">
        <v>209</v>
      </c>
      <c r="B125" s="4" t="s">
        <v>207</v>
      </c>
      <c r="C125" s="4" t="s">
        <v>76</v>
      </c>
      <c r="D125" s="4" t="s">
        <v>24</v>
      </c>
      <c r="E125" s="4" t="s">
        <v>27</v>
      </c>
      <c r="F125" s="5" t="n">
        <v>195.04</v>
      </c>
    </row>
    <row r="126" customFormat="false" ht="15" hidden="false" customHeight="false" outlineLevel="0" collapsed="false">
      <c r="A126" s="4" t="s">
        <v>214</v>
      </c>
      <c r="B126" s="4" t="s">
        <v>215</v>
      </c>
      <c r="C126" s="4" t="s">
        <v>76</v>
      </c>
      <c r="D126" s="4" t="s">
        <v>44</v>
      </c>
      <c r="E126" s="4" t="s">
        <v>45</v>
      </c>
      <c r="F126" s="5" t="n">
        <v>220.95</v>
      </c>
    </row>
    <row r="127" customFormat="false" ht="15" hidden="false" customHeight="false" outlineLevel="0" collapsed="false">
      <c r="A127" s="4" t="s">
        <v>214</v>
      </c>
      <c r="B127" s="4" t="s">
        <v>216</v>
      </c>
      <c r="C127" s="4" t="s">
        <v>76</v>
      </c>
      <c r="D127" s="4" t="s">
        <v>7</v>
      </c>
      <c r="E127" s="4" t="s">
        <v>13</v>
      </c>
      <c r="F127" s="5" t="n">
        <v>130</v>
      </c>
    </row>
    <row r="128" customFormat="false" ht="15" hidden="false" customHeight="false" outlineLevel="0" collapsed="false">
      <c r="A128" s="4" t="s">
        <v>214</v>
      </c>
      <c r="B128" s="4" t="s">
        <v>217</v>
      </c>
      <c r="C128" s="4" t="s">
        <v>76</v>
      </c>
      <c r="D128" s="4" t="s">
        <v>7</v>
      </c>
      <c r="E128" s="4" t="s">
        <v>10</v>
      </c>
      <c r="F128" s="5" t="n">
        <v>289.55</v>
      </c>
    </row>
    <row r="129" customFormat="false" ht="15" hidden="false" customHeight="false" outlineLevel="0" collapsed="false">
      <c r="A129" s="4" t="s">
        <v>214</v>
      </c>
      <c r="B129" s="4" t="s">
        <v>218</v>
      </c>
      <c r="C129" s="4" t="s">
        <v>76</v>
      </c>
      <c r="D129" s="4" t="s">
        <v>24</v>
      </c>
      <c r="E129" s="4" t="s">
        <v>30</v>
      </c>
      <c r="F129" s="5" t="n">
        <v>15</v>
      </c>
    </row>
    <row r="130" customFormat="false" ht="15" hidden="false" customHeight="false" outlineLevel="0" collapsed="false">
      <c r="A130" s="4" t="s">
        <v>214</v>
      </c>
      <c r="B130" s="4" t="s">
        <v>219</v>
      </c>
      <c r="C130" s="4" t="s">
        <v>76</v>
      </c>
      <c r="D130" s="4" t="s">
        <v>24</v>
      </c>
      <c r="E130" s="4" t="s">
        <v>25</v>
      </c>
      <c r="F130" s="5" t="n">
        <v>20</v>
      </c>
    </row>
    <row r="131" customFormat="false" ht="15" hidden="false" customHeight="false" outlineLevel="0" collapsed="false">
      <c r="A131" s="4" t="s">
        <v>214</v>
      </c>
      <c r="B131" s="4" t="s">
        <v>220</v>
      </c>
      <c r="C131" s="4" t="s">
        <v>76</v>
      </c>
      <c r="D131" s="4" t="s">
        <v>24</v>
      </c>
      <c r="E131" s="4" t="s">
        <v>30</v>
      </c>
      <c r="F131" s="5" t="n">
        <v>25</v>
      </c>
    </row>
    <row r="132" customFormat="false" ht="15" hidden="false" customHeight="false" outlineLevel="0" collapsed="false">
      <c r="A132" s="4" t="s">
        <v>214</v>
      </c>
      <c r="B132" s="4" t="s">
        <v>221</v>
      </c>
      <c r="C132" s="4" t="s">
        <v>76</v>
      </c>
      <c r="D132" s="4" t="s">
        <v>24</v>
      </c>
      <c r="E132" s="4" t="s">
        <v>30</v>
      </c>
      <c r="F132" s="5" t="n">
        <v>20</v>
      </c>
    </row>
    <row r="133" customFormat="false" ht="15" hidden="false" customHeight="false" outlineLevel="0" collapsed="false">
      <c r="A133" s="4" t="s">
        <v>214</v>
      </c>
      <c r="B133" s="4" t="s">
        <v>222</v>
      </c>
      <c r="C133" s="4" t="s">
        <v>76</v>
      </c>
      <c r="D133" s="4" t="s">
        <v>24</v>
      </c>
      <c r="E133" s="4" t="s">
        <v>30</v>
      </c>
      <c r="F133" s="5" t="n">
        <v>60</v>
      </c>
    </row>
    <row r="134" customFormat="false" ht="15" hidden="false" customHeight="false" outlineLevel="0" collapsed="false">
      <c r="A134" s="4" t="s">
        <v>214</v>
      </c>
      <c r="B134" s="4" t="s">
        <v>223</v>
      </c>
      <c r="C134" s="4" t="s">
        <v>76</v>
      </c>
      <c r="D134" s="4" t="s">
        <v>24</v>
      </c>
      <c r="E134" s="4" t="s">
        <v>30</v>
      </c>
      <c r="F134" s="5" t="n">
        <v>20</v>
      </c>
    </row>
    <row r="135" customFormat="false" ht="15" hidden="false" customHeight="false" outlineLevel="0" collapsed="false">
      <c r="A135" s="4" t="s">
        <v>224</v>
      </c>
      <c r="B135" s="4" t="s">
        <v>225</v>
      </c>
      <c r="C135" s="4" t="s">
        <v>76</v>
      </c>
      <c r="D135" s="4" t="s">
        <v>7</v>
      </c>
      <c r="E135" s="4" t="s">
        <v>17</v>
      </c>
      <c r="F135" s="5" t="n">
        <v>48.96</v>
      </c>
    </row>
    <row r="136" customFormat="false" ht="15" hidden="false" customHeight="false" outlineLevel="0" collapsed="false">
      <c r="A136" s="4" t="s">
        <v>224</v>
      </c>
      <c r="B136" s="4" t="s">
        <v>226</v>
      </c>
      <c r="C136" s="4" t="s">
        <v>76</v>
      </c>
      <c r="D136" s="4" t="s">
        <v>24</v>
      </c>
      <c r="E136" s="4" t="s">
        <v>28</v>
      </c>
      <c r="F136" s="5" t="n">
        <v>74.76</v>
      </c>
    </row>
    <row r="137" customFormat="false" ht="15" hidden="false" customHeight="false" outlineLevel="0" collapsed="false">
      <c r="A137" s="4" t="s">
        <v>224</v>
      </c>
      <c r="B137" s="4" t="s">
        <v>227</v>
      </c>
      <c r="C137" s="4" t="s">
        <v>76</v>
      </c>
      <c r="D137" s="4" t="s">
        <v>24</v>
      </c>
      <c r="E137" s="4" t="s">
        <v>26</v>
      </c>
      <c r="F137" s="5" t="n">
        <v>51.1</v>
      </c>
    </row>
    <row r="138" customFormat="false" ht="15" hidden="false" customHeight="false" outlineLevel="0" collapsed="false">
      <c r="A138" s="4" t="s">
        <v>228</v>
      </c>
      <c r="B138" s="4" t="s">
        <v>229</v>
      </c>
      <c r="C138" s="4" t="s">
        <v>76</v>
      </c>
      <c r="D138" s="4" t="s">
        <v>24</v>
      </c>
      <c r="E138" s="4" t="s">
        <v>28</v>
      </c>
      <c r="F138" s="5" t="n">
        <v>32.49</v>
      </c>
    </row>
    <row r="139" customFormat="false" ht="15" hidden="false" customHeight="false" outlineLevel="0" collapsed="false">
      <c r="A139" s="4" t="s">
        <v>228</v>
      </c>
      <c r="B139" s="4" t="s">
        <v>230</v>
      </c>
      <c r="C139" s="4" t="s">
        <v>76</v>
      </c>
      <c r="D139" s="4" t="s">
        <v>7</v>
      </c>
      <c r="E139" s="4" t="s">
        <v>22</v>
      </c>
      <c r="F139" s="5" t="n">
        <v>13.49</v>
      </c>
    </row>
    <row r="140" customFormat="false" ht="15" hidden="false" customHeight="false" outlineLevel="0" collapsed="false">
      <c r="A140" s="4" t="s">
        <v>228</v>
      </c>
      <c r="B140" s="4" t="s">
        <v>231</v>
      </c>
      <c r="C140" s="4" t="s">
        <v>76</v>
      </c>
      <c r="D140" s="4" t="s">
        <v>7</v>
      </c>
      <c r="E140" s="4" t="s">
        <v>15</v>
      </c>
      <c r="F140" s="5" t="n">
        <v>59.67</v>
      </c>
    </row>
    <row r="141" customFormat="false" ht="15" hidden="false" customHeight="false" outlineLevel="0" collapsed="false">
      <c r="A141" s="4" t="s">
        <v>228</v>
      </c>
      <c r="B141" s="4" t="s">
        <v>232</v>
      </c>
      <c r="C141" s="4" t="s">
        <v>76</v>
      </c>
      <c r="D141" s="4" t="s">
        <v>24</v>
      </c>
      <c r="E141" s="4" t="s">
        <v>28</v>
      </c>
      <c r="F141" s="5" t="n">
        <v>58.51</v>
      </c>
    </row>
    <row r="142" customFormat="false" ht="15" hidden="false" customHeight="false" outlineLevel="0" collapsed="false">
      <c r="A142" s="4" t="s">
        <v>228</v>
      </c>
      <c r="B142" s="4" t="s">
        <v>233</v>
      </c>
      <c r="C142" s="4" t="s">
        <v>76</v>
      </c>
      <c r="D142" s="4" t="s">
        <v>24</v>
      </c>
      <c r="E142" s="4" t="s">
        <v>25</v>
      </c>
      <c r="F142" s="5" t="n">
        <v>3.16</v>
      </c>
    </row>
    <row r="143" customFormat="false" ht="15" hidden="false" customHeight="false" outlineLevel="0" collapsed="false">
      <c r="A143" s="4" t="s">
        <v>228</v>
      </c>
      <c r="B143" s="4" t="s">
        <v>234</v>
      </c>
      <c r="C143" s="4" t="s">
        <v>76</v>
      </c>
      <c r="D143" s="4" t="s">
        <v>24</v>
      </c>
      <c r="E143" s="4" t="s">
        <v>35</v>
      </c>
      <c r="F143" s="5" t="n">
        <v>45.47</v>
      </c>
    </row>
    <row r="144" customFormat="false" ht="15" hidden="false" customHeight="false" outlineLevel="0" collapsed="false">
      <c r="A144" s="4" t="s">
        <v>228</v>
      </c>
      <c r="B144" s="4" t="s">
        <v>235</v>
      </c>
      <c r="C144" s="4" t="s">
        <v>76</v>
      </c>
      <c r="D144" s="4" t="s">
        <v>24</v>
      </c>
      <c r="E144" s="4" t="s">
        <v>32</v>
      </c>
      <c r="F144" s="5" t="n">
        <v>21.66</v>
      </c>
    </row>
    <row r="145" customFormat="false" ht="15" hidden="false" customHeight="false" outlineLevel="0" collapsed="false">
      <c r="A145" s="4" t="s">
        <v>228</v>
      </c>
      <c r="B145" s="4" t="s">
        <v>207</v>
      </c>
      <c r="C145" s="4" t="s">
        <v>76</v>
      </c>
      <c r="D145" s="4" t="s">
        <v>24</v>
      </c>
      <c r="E145" s="4" t="s">
        <v>27</v>
      </c>
      <c r="F145" s="5" t="n">
        <v>26.09</v>
      </c>
    </row>
    <row r="146" customFormat="false" ht="15" hidden="false" customHeight="false" outlineLevel="0" collapsed="false">
      <c r="A146" s="4" t="s">
        <v>228</v>
      </c>
      <c r="B146" s="4" t="s">
        <v>207</v>
      </c>
      <c r="C146" s="4" t="s">
        <v>76</v>
      </c>
      <c r="D146" s="4" t="s">
        <v>24</v>
      </c>
      <c r="E146" s="4" t="s">
        <v>27</v>
      </c>
      <c r="F146" s="5" t="n">
        <v>8.64</v>
      </c>
    </row>
    <row r="147" customFormat="false" ht="15" hidden="false" customHeight="false" outlineLevel="0" collapsed="false">
      <c r="A147" s="4" t="s">
        <v>236</v>
      </c>
      <c r="B147" s="4" t="s">
        <v>237</v>
      </c>
      <c r="C147" s="4" t="s">
        <v>76</v>
      </c>
      <c r="D147" s="4" t="s">
        <v>44</v>
      </c>
      <c r="E147" s="4" t="s">
        <v>45</v>
      </c>
      <c r="F147" s="5" t="n">
        <v>49.17</v>
      </c>
    </row>
    <row r="148" customFormat="false" ht="15" hidden="false" customHeight="false" outlineLevel="0" collapsed="false">
      <c r="A148" s="4" t="s">
        <v>236</v>
      </c>
      <c r="B148" s="4" t="s">
        <v>238</v>
      </c>
      <c r="C148" s="4" t="s">
        <v>76</v>
      </c>
      <c r="D148" s="4" t="s">
        <v>24</v>
      </c>
      <c r="E148" s="4" t="s">
        <v>28</v>
      </c>
      <c r="F148" s="5" t="n">
        <v>46.59</v>
      </c>
    </row>
    <row r="149" customFormat="false" ht="15" hidden="false" customHeight="false" outlineLevel="0" collapsed="false">
      <c r="A149" s="4" t="s">
        <v>236</v>
      </c>
      <c r="B149" s="4" t="s">
        <v>172</v>
      </c>
      <c r="C149" s="4" t="s">
        <v>76</v>
      </c>
      <c r="D149" s="4" t="s">
        <v>24</v>
      </c>
      <c r="E149" s="4" t="s">
        <v>25</v>
      </c>
      <c r="F149" s="5" t="n">
        <v>25</v>
      </c>
    </row>
    <row r="150" customFormat="false" ht="15" hidden="false" customHeight="false" outlineLevel="0" collapsed="false">
      <c r="A150" s="4" t="s">
        <v>239</v>
      </c>
      <c r="B150" s="4" t="s">
        <v>240</v>
      </c>
      <c r="C150" s="4" t="s">
        <v>76</v>
      </c>
      <c r="D150" s="4" t="s">
        <v>44</v>
      </c>
      <c r="E150" s="4" t="s">
        <v>45</v>
      </c>
      <c r="F150" s="5" t="n">
        <v>88.22</v>
      </c>
    </row>
    <row r="151" customFormat="false" ht="15" hidden="false" customHeight="false" outlineLevel="0" collapsed="false">
      <c r="A151" s="4" t="s">
        <v>239</v>
      </c>
      <c r="B151" s="4" t="s">
        <v>241</v>
      </c>
      <c r="C151" s="4" t="s">
        <v>76</v>
      </c>
      <c r="D151" s="4" t="s">
        <v>7</v>
      </c>
      <c r="E151" s="4" t="s">
        <v>9</v>
      </c>
      <c r="F151" s="5" t="n">
        <v>401.75</v>
      </c>
    </row>
    <row r="152" customFormat="false" ht="15" hidden="false" customHeight="false" outlineLevel="0" collapsed="false">
      <c r="A152" s="4" t="s">
        <v>239</v>
      </c>
      <c r="B152" s="4" t="s">
        <v>242</v>
      </c>
      <c r="C152" s="4" t="s">
        <v>76</v>
      </c>
      <c r="D152" s="4" t="s">
        <v>7</v>
      </c>
      <c r="E152" s="4" t="s">
        <v>20</v>
      </c>
      <c r="F152" s="5" t="n">
        <v>14.39</v>
      </c>
    </row>
    <row r="153" customFormat="false" ht="15" hidden="false" customHeight="false" outlineLevel="0" collapsed="false">
      <c r="A153" s="4" t="s">
        <v>239</v>
      </c>
      <c r="B153" s="4" t="s">
        <v>243</v>
      </c>
      <c r="C153" s="4" t="s">
        <v>76</v>
      </c>
      <c r="D153" s="4" t="s">
        <v>24</v>
      </c>
      <c r="E153" s="4" t="s">
        <v>28</v>
      </c>
      <c r="F153" s="5" t="n">
        <v>27.6</v>
      </c>
    </row>
    <row r="154" customFormat="false" ht="15" hidden="false" customHeight="false" outlineLevel="0" collapsed="false">
      <c r="A154" s="4" t="s">
        <v>239</v>
      </c>
      <c r="B154" s="4" t="s">
        <v>172</v>
      </c>
      <c r="C154" s="4" t="s">
        <v>76</v>
      </c>
      <c r="D154" s="4" t="s">
        <v>24</v>
      </c>
      <c r="E154" s="4" t="s">
        <v>25</v>
      </c>
      <c r="F154" s="5" t="n">
        <v>10</v>
      </c>
    </row>
    <row r="155" customFormat="false" ht="15" hidden="false" customHeight="false" outlineLevel="0" collapsed="false">
      <c r="A155" s="4" t="s">
        <v>239</v>
      </c>
      <c r="B155" s="4" t="s">
        <v>244</v>
      </c>
      <c r="C155" s="4" t="s">
        <v>76</v>
      </c>
      <c r="D155" s="4" t="s">
        <v>24</v>
      </c>
      <c r="E155" s="4" t="s">
        <v>25</v>
      </c>
      <c r="F155" s="5" t="n">
        <v>7</v>
      </c>
    </row>
    <row r="156" customFormat="false" ht="15" hidden="false" customHeight="false" outlineLevel="0" collapsed="false">
      <c r="A156" s="4" t="s">
        <v>59</v>
      </c>
      <c r="B156" s="4" t="s">
        <v>245</v>
      </c>
      <c r="C156" s="4" t="s">
        <v>76</v>
      </c>
      <c r="D156" s="4" t="s">
        <v>44</v>
      </c>
      <c r="E156" s="4" t="s">
        <v>45</v>
      </c>
      <c r="F156" s="5" t="n">
        <v>177.82</v>
      </c>
    </row>
    <row r="157" customFormat="false" ht="15" hidden="false" customHeight="false" outlineLevel="0" collapsed="false">
      <c r="A157" s="4" t="s">
        <v>59</v>
      </c>
      <c r="B157" s="4" t="s">
        <v>246</v>
      </c>
      <c r="C157" s="4" t="s">
        <v>76</v>
      </c>
      <c r="D157" s="4" t="s">
        <v>44</v>
      </c>
      <c r="E157" s="4" t="s">
        <v>49</v>
      </c>
      <c r="F157" s="5" t="n">
        <v>93.87</v>
      </c>
    </row>
    <row r="158" customFormat="false" ht="15" hidden="false" customHeight="false" outlineLevel="0" collapsed="false">
      <c r="A158" s="4" t="s">
        <v>59</v>
      </c>
      <c r="B158" s="4" t="s">
        <v>14</v>
      </c>
      <c r="C158" s="4" t="s">
        <v>76</v>
      </c>
      <c r="D158" s="4" t="s">
        <v>7</v>
      </c>
      <c r="E158" s="4" t="s">
        <v>14</v>
      </c>
      <c r="F158" s="5" t="n">
        <v>93.31</v>
      </c>
    </row>
    <row r="159" customFormat="false" ht="15" hidden="false" customHeight="false" outlineLevel="0" collapsed="false">
      <c r="A159" s="4" t="s">
        <v>59</v>
      </c>
      <c r="B159" s="4" t="s">
        <v>247</v>
      </c>
      <c r="C159" s="4" t="s">
        <v>76</v>
      </c>
      <c r="D159" s="4" t="s">
        <v>7</v>
      </c>
      <c r="E159" s="4" t="s">
        <v>21</v>
      </c>
      <c r="F159" s="5" t="n">
        <v>13.99</v>
      </c>
    </row>
    <row r="160" customFormat="false" ht="15" hidden="false" customHeight="false" outlineLevel="0" collapsed="false">
      <c r="A160" s="4" t="s">
        <v>59</v>
      </c>
      <c r="B160" s="4" t="s">
        <v>248</v>
      </c>
      <c r="C160" s="4" t="s">
        <v>76</v>
      </c>
      <c r="D160" s="4" t="s">
        <v>24</v>
      </c>
      <c r="E160" s="4" t="s">
        <v>25</v>
      </c>
      <c r="F160" s="5" t="n">
        <v>35</v>
      </c>
    </row>
    <row r="161" customFormat="false" ht="15" hidden="false" customHeight="false" outlineLevel="0" collapsed="false">
      <c r="A161" s="4" t="s">
        <v>59</v>
      </c>
      <c r="B161" s="4" t="s">
        <v>207</v>
      </c>
      <c r="C161" s="4" t="s">
        <v>76</v>
      </c>
      <c r="D161" s="4" t="s">
        <v>24</v>
      </c>
      <c r="E161" s="4" t="s">
        <v>27</v>
      </c>
      <c r="F161" s="5" t="n">
        <v>27.31</v>
      </c>
    </row>
    <row r="162" customFormat="false" ht="15" hidden="false" customHeight="false" outlineLevel="0" collapsed="false">
      <c r="A162" s="4" t="s">
        <v>61</v>
      </c>
      <c r="B162" s="4" t="s">
        <v>249</v>
      </c>
      <c r="C162" s="4" t="s">
        <v>76</v>
      </c>
      <c r="D162" s="4" t="s">
        <v>44</v>
      </c>
      <c r="E162" s="4" t="s">
        <v>45</v>
      </c>
      <c r="F162" s="5" t="n">
        <v>24.38</v>
      </c>
    </row>
    <row r="163" customFormat="false" ht="15" hidden="false" customHeight="false" outlineLevel="0" collapsed="false">
      <c r="A163" s="4" t="s">
        <v>61</v>
      </c>
      <c r="B163" s="4" t="s">
        <v>250</v>
      </c>
      <c r="C163" s="4" t="s">
        <v>76</v>
      </c>
      <c r="D163" s="4" t="s">
        <v>24</v>
      </c>
      <c r="E163" s="4" t="s">
        <v>26</v>
      </c>
      <c r="F163" s="5" t="n">
        <v>109.77</v>
      </c>
    </row>
    <row r="164" customFormat="false" ht="15" hidden="false" customHeight="false" outlineLevel="0" collapsed="false">
      <c r="A164" s="4" t="s">
        <v>61</v>
      </c>
      <c r="B164" s="4" t="s">
        <v>251</v>
      </c>
      <c r="C164" s="4" t="s">
        <v>76</v>
      </c>
      <c r="D164" s="4" t="s">
        <v>24</v>
      </c>
      <c r="E164" s="4" t="s">
        <v>25</v>
      </c>
      <c r="F164" s="5" t="n">
        <v>8.99</v>
      </c>
    </row>
    <row r="165" customFormat="false" ht="15" hidden="false" customHeight="false" outlineLevel="0" collapsed="false">
      <c r="A165" s="4" t="s">
        <v>61</v>
      </c>
      <c r="B165" s="4" t="s">
        <v>252</v>
      </c>
      <c r="C165" s="4" t="s">
        <v>76</v>
      </c>
      <c r="D165" s="4" t="s">
        <v>24</v>
      </c>
      <c r="E165" s="4" t="s">
        <v>25</v>
      </c>
      <c r="F165" s="5" t="n">
        <v>96</v>
      </c>
    </row>
    <row r="166" customFormat="false" ht="15" hidden="false" customHeight="false" outlineLevel="0" collapsed="false">
      <c r="A166" s="4" t="s">
        <v>61</v>
      </c>
      <c r="B166" s="4" t="s">
        <v>253</v>
      </c>
      <c r="C166" s="4" t="s">
        <v>76</v>
      </c>
      <c r="D166" s="4" t="s">
        <v>24</v>
      </c>
      <c r="E166" s="4" t="s">
        <v>26</v>
      </c>
      <c r="F166" s="5" t="n">
        <v>139.14</v>
      </c>
    </row>
    <row r="167" customFormat="false" ht="15" hidden="false" customHeight="false" outlineLevel="0" collapsed="false">
      <c r="A167" s="4" t="s">
        <v>61</v>
      </c>
      <c r="B167" s="4" t="s">
        <v>254</v>
      </c>
      <c r="C167" s="4" t="s">
        <v>76</v>
      </c>
      <c r="D167" s="4" t="s">
        <v>24</v>
      </c>
      <c r="E167" s="4" t="s">
        <v>26</v>
      </c>
      <c r="F167" s="5" t="n">
        <v>66.45</v>
      </c>
    </row>
    <row r="168" customFormat="false" ht="15" hidden="false" customHeight="false" outlineLevel="0" collapsed="false">
      <c r="A168" s="4" t="s">
        <v>61</v>
      </c>
      <c r="B168" s="4" t="s">
        <v>255</v>
      </c>
      <c r="C168" s="4" t="s">
        <v>76</v>
      </c>
      <c r="D168" s="4" t="s">
        <v>24</v>
      </c>
      <c r="E168" s="4" t="s">
        <v>25</v>
      </c>
      <c r="F168" s="5" t="n">
        <v>19.99</v>
      </c>
    </row>
    <row r="169" customFormat="false" ht="15" hidden="false" customHeight="false" outlineLevel="0" collapsed="false">
      <c r="A169" s="4" t="s">
        <v>61</v>
      </c>
      <c r="B169" s="4" t="s">
        <v>256</v>
      </c>
      <c r="C169" s="4" t="s">
        <v>76</v>
      </c>
      <c r="D169" s="4" t="s">
        <v>24</v>
      </c>
      <c r="E169" s="4" t="s">
        <v>26</v>
      </c>
      <c r="F169" s="5" t="n">
        <v>81.76</v>
      </c>
    </row>
    <row r="170" customFormat="false" ht="15" hidden="false" customHeight="false" outlineLevel="0" collapsed="false">
      <c r="A170" s="4" t="s">
        <v>61</v>
      </c>
      <c r="B170" s="4" t="s">
        <v>257</v>
      </c>
      <c r="C170" s="4" t="s">
        <v>76</v>
      </c>
      <c r="D170" s="4" t="s">
        <v>24</v>
      </c>
      <c r="E170" s="4" t="s">
        <v>25</v>
      </c>
      <c r="F170" s="5" t="n">
        <v>130.88</v>
      </c>
    </row>
    <row r="171" customFormat="false" ht="15" hidden="false" customHeight="false" outlineLevel="0" collapsed="false">
      <c r="A171" s="4" t="s">
        <v>61</v>
      </c>
      <c r="B171" s="4" t="s">
        <v>258</v>
      </c>
      <c r="C171" s="4" t="s">
        <v>76</v>
      </c>
      <c r="D171" s="4" t="s">
        <v>24</v>
      </c>
      <c r="E171" s="4" t="s">
        <v>27</v>
      </c>
      <c r="F171" s="5" t="n">
        <v>94.83</v>
      </c>
    </row>
    <row r="172" customFormat="false" ht="15" hidden="false" customHeight="false" outlineLevel="0" collapsed="false">
      <c r="A172" s="4" t="s">
        <v>61</v>
      </c>
      <c r="B172" s="4" t="s">
        <v>259</v>
      </c>
      <c r="C172" s="4" t="s">
        <v>76</v>
      </c>
      <c r="D172" s="4" t="s">
        <v>24</v>
      </c>
      <c r="E172" s="4" t="s">
        <v>28</v>
      </c>
      <c r="F172" s="5" t="n">
        <v>165.82</v>
      </c>
    </row>
    <row r="173" customFormat="false" ht="15" hidden="false" customHeight="false" outlineLevel="0" collapsed="false">
      <c r="A173" s="4" t="s">
        <v>61</v>
      </c>
      <c r="B173" s="4" t="s">
        <v>260</v>
      </c>
      <c r="C173" s="4" t="s">
        <v>76</v>
      </c>
      <c r="D173" s="4" t="s">
        <v>24</v>
      </c>
      <c r="E173" s="4" t="s">
        <v>28</v>
      </c>
      <c r="F173" s="5" t="n">
        <v>29.25</v>
      </c>
    </row>
    <row r="174" customFormat="false" ht="15" hidden="false" customHeight="false" outlineLevel="0" collapsed="false">
      <c r="A174" s="4" t="s">
        <v>61</v>
      </c>
      <c r="B174" s="4" t="s">
        <v>261</v>
      </c>
      <c r="C174" s="4" t="s">
        <v>76</v>
      </c>
      <c r="D174" s="4" t="s">
        <v>24</v>
      </c>
      <c r="E174" s="4" t="s">
        <v>25</v>
      </c>
      <c r="F174" s="5" t="n">
        <v>-180.49</v>
      </c>
    </row>
    <row r="175" customFormat="false" ht="15" hidden="false" customHeight="false" outlineLevel="0" collapsed="false">
      <c r="A175" s="4" t="s">
        <v>61</v>
      </c>
      <c r="B175" s="4" t="s">
        <v>262</v>
      </c>
      <c r="C175" s="4" t="s">
        <v>76</v>
      </c>
      <c r="D175" s="4" t="s">
        <v>24</v>
      </c>
      <c r="E175" s="4" t="s">
        <v>40</v>
      </c>
      <c r="F175" s="5" t="n">
        <v>20</v>
      </c>
    </row>
    <row r="176" customFormat="false" ht="15" hidden="false" customHeight="false" outlineLevel="0" collapsed="false">
      <c r="A176" s="4" t="s">
        <v>61</v>
      </c>
      <c r="B176" s="4" t="s">
        <v>263</v>
      </c>
      <c r="C176" s="4" t="s">
        <v>76</v>
      </c>
      <c r="D176" s="4" t="s">
        <v>24</v>
      </c>
      <c r="E176" s="4" t="s">
        <v>25</v>
      </c>
      <c r="F176" s="5" t="n">
        <v>30</v>
      </c>
    </row>
    <row r="177" customFormat="false" ht="15" hidden="false" customHeight="false" outlineLevel="0" collapsed="false">
      <c r="A177" s="4" t="s">
        <v>264</v>
      </c>
      <c r="B177" s="4" t="s">
        <v>265</v>
      </c>
      <c r="C177" s="4" t="s">
        <v>76</v>
      </c>
      <c r="D177" s="4" t="s">
        <v>24</v>
      </c>
      <c r="E177" s="4" t="s">
        <v>42</v>
      </c>
      <c r="F177" s="5" t="n">
        <v>7</v>
      </c>
    </row>
    <row r="178" customFormat="false" ht="15" hidden="false" customHeight="false" outlineLevel="0" collapsed="false">
      <c r="A178" s="4" t="s">
        <v>264</v>
      </c>
      <c r="B178" s="4" t="s">
        <v>266</v>
      </c>
      <c r="C178" s="4" t="s">
        <v>76</v>
      </c>
      <c r="D178" s="4" t="s">
        <v>24</v>
      </c>
      <c r="E178" s="4" t="s">
        <v>25</v>
      </c>
      <c r="F178" s="5" t="n">
        <v>11.58</v>
      </c>
    </row>
    <row r="179" customFormat="false" ht="15" hidden="false" customHeight="false" outlineLevel="0" collapsed="false">
      <c r="A179" s="4" t="s">
        <v>264</v>
      </c>
      <c r="B179" s="4" t="s">
        <v>267</v>
      </c>
      <c r="C179" s="4" t="s">
        <v>76</v>
      </c>
      <c r="D179" s="4" t="s">
        <v>24</v>
      </c>
      <c r="E179" s="4" t="s">
        <v>26</v>
      </c>
      <c r="F179" s="5" t="n">
        <v>40.86</v>
      </c>
    </row>
    <row r="180" customFormat="false" ht="15" hidden="false" customHeight="false" outlineLevel="0" collapsed="false">
      <c r="A180" s="4" t="s">
        <v>264</v>
      </c>
      <c r="B180" s="4" t="s">
        <v>268</v>
      </c>
      <c r="C180" s="4" t="s">
        <v>76</v>
      </c>
      <c r="D180" s="4" t="s">
        <v>24</v>
      </c>
      <c r="E180" s="4" t="s">
        <v>26</v>
      </c>
      <c r="F180" s="5" t="n">
        <v>55.29</v>
      </c>
    </row>
    <row r="181" customFormat="false" ht="15" hidden="false" customHeight="false" outlineLevel="0" collapsed="false">
      <c r="A181" s="4" t="s">
        <v>264</v>
      </c>
      <c r="B181" s="4" t="s">
        <v>268</v>
      </c>
      <c r="C181" s="4" t="s">
        <v>76</v>
      </c>
      <c r="D181" s="4" t="s">
        <v>24</v>
      </c>
      <c r="E181" s="4" t="s">
        <v>26</v>
      </c>
      <c r="F181" s="5" t="n">
        <v>34.84</v>
      </c>
    </row>
    <row r="182" customFormat="false" ht="15" hidden="false" customHeight="false" outlineLevel="0" collapsed="false">
      <c r="A182" s="4" t="s">
        <v>264</v>
      </c>
      <c r="B182" s="4" t="s">
        <v>269</v>
      </c>
      <c r="C182" s="4" t="s">
        <v>76</v>
      </c>
      <c r="D182" s="4" t="s">
        <v>24</v>
      </c>
      <c r="E182" s="4" t="s">
        <v>41</v>
      </c>
      <c r="F182" s="5" t="n">
        <v>7.8</v>
      </c>
    </row>
    <row r="183" customFormat="false" ht="15" hidden="false" customHeight="false" outlineLevel="0" collapsed="false">
      <c r="A183" s="4" t="s">
        <v>264</v>
      </c>
      <c r="B183" s="4" t="s">
        <v>270</v>
      </c>
      <c r="C183" s="4" t="s">
        <v>76</v>
      </c>
      <c r="D183" s="4" t="s">
        <v>24</v>
      </c>
      <c r="E183" s="4" t="s">
        <v>30</v>
      </c>
      <c r="F183" s="5" t="n">
        <v>55</v>
      </c>
    </row>
    <row r="184" customFormat="false" ht="15" hidden="false" customHeight="false" outlineLevel="0" collapsed="false">
      <c r="A184" s="4" t="s">
        <v>271</v>
      </c>
      <c r="B184" s="4" t="s">
        <v>272</v>
      </c>
      <c r="C184" s="4" t="s">
        <v>76</v>
      </c>
      <c r="D184" s="4" t="s">
        <v>24</v>
      </c>
      <c r="E184" s="4" t="s">
        <v>25</v>
      </c>
      <c r="F184" s="5" t="n">
        <v>60</v>
      </c>
    </row>
    <row r="185" customFormat="false" ht="15" hidden="false" customHeight="false" outlineLevel="0" collapsed="false">
      <c r="A185" s="4" t="s">
        <v>271</v>
      </c>
      <c r="B185" s="4" t="s">
        <v>273</v>
      </c>
      <c r="C185" s="4" t="s">
        <v>76</v>
      </c>
      <c r="D185" s="4" t="s">
        <v>44</v>
      </c>
      <c r="E185" s="4" t="s">
        <v>45</v>
      </c>
      <c r="F185" s="5" t="n">
        <v>39.33</v>
      </c>
    </row>
    <row r="186" customFormat="false" ht="15" hidden="false" customHeight="false" outlineLevel="0" collapsed="false">
      <c r="A186" s="4" t="s">
        <v>271</v>
      </c>
      <c r="B186" s="4" t="s">
        <v>115</v>
      </c>
      <c r="C186" s="4" t="s">
        <v>76</v>
      </c>
      <c r="D186" s="4" t="s">
        <v>24</v>
      </c>
      <c r="E186" s="4" t="s">
        <v>33</v>
      </c>
      <c r="F186" s="5" t="n">
        <v>78.32</v>
      </c>
    </row>
    <row r="187" customFormat="false" ht="15" hidden="false" customHeight="false" outlineLevel="0" collapsed="false">
      <c r="A187" s="4" t="s">
        <v>271</v>
      </c>
      <c r="B187" s="4" t="s">
        <v>274</v>
      </c>
      <c r="C187" s="4" t="s">
        <v>76</v>
      </c>
      <c r="D187" s="4" t="s">
        <v>24</v>
      </c>
      <c r="E187" s="4" t="s">
        <v>26</v>
      </c>
      <c r="F187" s="5" t="n">
        <v>31.8</v>
      </c>
    </row>
    <row r="188" customFormat="false" ht="15" hidden="false" customHeight="false" outlineLevel="0" collapsed="false">
      <c r="A188" s="4" t="s">
        <v>271</v>
      </c>
      <c r="B188" s="4" t="s">
        <v>275</v>
      </c>
      <c r="C188" s="4" t="s">
        <v>76</v>
      </c>
      <c r="D188" s="4" t="s">
        <v>24</v>
      </c>
      <c r="E188" s="4" t="s">
        <v>25</v>
      </c>
      <c r="F188" s="5" t="n">
        <v>0.01</v>
      </c>
    </row>
    <row r="189" customFormat="false" ht="15" hidden="false" customHeight="false" outlineLevel="0" collapsed="false">
      <c r="A189" s="4" t="s">
        <v>271</v>
      </c>
      <c r="B189" s="4" t="s">
        <v>276</v>
      </c>
      <c r="C189" s="4" t="s">
        <v>76</v>
      </c>
      <c r="D189" s="4" t="s">
        <v>24</v>
      </c>
      <c r="E189" s="4" t="s">
        <v>25</v>
      </c>
      <c r="F189" s="5" t="n">
        <v>-19.99</v>
      </c>
    </row>
    <row r="190" customFormat="false" ht="15" hidden="false" customHeight="false" outlineLevel="0" collapsed="false">
      <c r="A190" s="4" t="s">
        <v>271</v>
      </c>
      <c r="B190" s="4" t="s">
        <v>277</v>
      </c>
      <c r="C190" s="4" t="s">
        <v>76</v>
      </c>
      <c r="D190" s="4" t="s">
        <v>24</v>
      </c>
      <c r="E190" s="4" t="s">
        <v>30</v>
      </c>
      <c r="F190" s="5" t="n">
        <v>10</v>
      </c>
    </row>
    <row r="191" customFormat="false" ht="15" hidden="false" customHeight="false" outlineLevel="0" collapsed="false">
      <c r="A191" s="4" t="s">
        <v>271</v>
      </c>
      <c r="B191" s="4" t="s">
        <v>278</v>
      </c>
      <c r="C191" s="4" t="s">
        <v>76</v>
      </c>
      <c r="D191" s="4" t="s">
        <v>24</v>
      </c>
      <c r="E191" s="4" t="s">
        <v>28</v>
      </c>
      <c r="F191" s="5" t="n">
        <v>30.33</v>
      </c>
    </row>
    <row r="192" customFormat="false" ht="15" hidden="false" customHeight="false" outlineLevel="0" collapsed="false">
      <c r="A192" s="4" t="s">
        <v>271</v>
      </c>
      <c r="B192" s="4" t="s">
        <v>279</v>
      </c>
      <c r="C192" s="4" t="s">
        <v>76</v>
      </c>
      <c r="D192" s="4" t="s">
        <v>24</v>
      </c>
      <c r="E192" s="4" t="s">
        <v>25</v>
      </c>
      <c r="F192" s="5" t="n">
        <v>9.99</v>
      </c>
    </row>
    <row r="193" customFormat="false" ht="15" hidden="false" customHeight="false" outlineLevel="0" collapsed="false">
      <c r="A193" s="4" t="s">
        <v>271</v>
      </c>
      <c r="B193" s="4" t="s">
        <v>280</v>
      </c>
      <c r="C193" s="4" t="s">
        <v>76</v>
      </c>
      <c r="D193" s="4" t="s">
        <v>24</v>
      </c>
      <c r="E193" s="4" t="s">
        <v>34</v>
      </c>
      <c r="F193" s="5" t="n">
        <v>161.81</v>
      </c>
    </row>
    <row r="194" customFormat="false" ht="15" hidden="false" customHeight="false" outlineLevel="0" collapsed="false">
      <c r="A194" s="4" t="s">
        <v>271</v>
      </c>
      <c r="B194" s="4" t="s">
        <v>281</v>
      </c>
      <c r="C194" s="4" t="s">
        <v>76</v>
      </c>
      <c r="D194" s="4" t="s">
        <v>24</v>
      </c>
      <c r="E194" s="4" t="s">
        <v>25</v>
      </c>
      <c r="F194" s="5" t="n">
        <v>125</v>
      </c>
    </row>
    <row r="195" customFormat="false" ht="15" hidden="false" customHeight="false" outlineLevel="0" collapsed="false">
      <c r="E195" s="11" t="s">
        <v>6</v>
      </c>
      <c r="F195" s="12" t="n">
        <f aca="false">SUM(F2:F194)</f>
        <v>14044.43</v>
      </c>
    </row>
    <row r="197" customFormat="false" ht="15" hidden="false" customHeight="false" outlineLevel="0" collapsed="false">
      <c r="A197" s="2" t="s">
        <v>282</v>
      </c>
    </row>
  </sheetData>
  <autoFilter ref="A1:F1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2026-10-01T23:39:10Z</dcterms:created>
  <dc:creator>openpyxl</dc:creator>
  <dc:description/>
  <dc:language>en-US</dc:language>
  <cp:lastModifiedBy/>
  <dcterms:modified xsi:type="dcterms:W3CDTF">2026-10-01T23:39:10Z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